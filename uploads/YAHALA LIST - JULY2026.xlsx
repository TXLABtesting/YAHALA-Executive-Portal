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CA-SRV172\Desktop\"/>
    </mc:Choice>
  </mc:AlternateContent>
  <xr:revisionPtr revIDLastSave="0" documentId="13_ncr:1_{8FB64EDD-800C-4820-8FA9-12AC64C19230}" xr6:coauthVersionLast="47" xr6:coauthVersionMax="47" xr10:uidLastSave="{00000000-0000-0000-0000-000000000000}"/>
  <bookViews>
    <workbookView xWindow="-120" yWindow="-120" windowWidth="29040" windowHeight="15720" activeTab="1" xr2:uid="{F5498B8D-AE2D-4B7F-AE6E-43485D1158F1}"/>
  </bookViews>
  <sheets>
    <sheet name="Sheet1" sheetId="2" r:id="rId1"/>
    <sheet name="Master Sheet" sheetId="1" r:id="rId2"/>
  </sheets>
  <externalReferences>
    <externalReference r:id="rId3"/>
  </externalReferences>
  <definedNames>
    <definedName name="_xlnm._FilterDatabase" localSheetId="1" hidden="1">'Master Sheet'!$R$1:$S$578</definedName>
  </definedNames>
  <calcPr calcId="191029"/>
  <pivotCaches>
    <pivotCache cacheId="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1" l="1"/>
  <c r="Q2" i="1"/>
  <c r="R2" i="1"/>
  <c r="S2" i="1"/>
  <c r="L3" i="1"/>
  <c r="Q3" i="1"/>
  <c r="R3" i="1"/>
  <c r="S3" i="1"/>
  <c r="L4" i="1"/>
  <c r="Q4" i="1"/>
  <c r="R4" i="1"/>
  <c r="S4" i="1"/>
  <c r="L5" i="1"/>
  <c r="Q5" i="1"/>
  <c r="R5" i="1"/>
  <c r="S5" i="1"/>
  <c r="L6" i="1"/>
  <c r="Q6" i="1"/>
  <c r="R6" i="1"/>
  <c r="S6" i="1"/>
  <c r="L7" i="1"/>
  <c r="Q7" i="1"/>
  <c r="R7" i="1"/>
  <c r="S7" i="1"/>
  <c r="L8" i="1"/>
  <c r="Q8" i="1"/>
  <c r="R8" i="1"/>
  <c r="S8" i="1"/>
  <c r="L9" i="1"/>
  <c r="Q9" i="1"/>
  <c r="R9" i="1"/>
  <c r="S9" i="1"/>
  <c r="L10" i="1"/>
  <c r="Q10" i="1"/>
  <c r="R10" i="1"/>
  <c r="S10" i="1"/>
  <c r="L11" i="1"/>
  <c r="Q11" i="1"/>
  <c r="R11" i="1"/>
  <c r="S11" i="1"/>
  <c r="L12" i="1"/>
  <c r="Q12" i="1"/>
  <c r="R12" i="1"/>
  <c r="S12" i="1"/>
  <c r="L13" i="1"/>
  <c r="Q13" i="1"/>
  <c r="R13" i="1"/>
  <c r="S13" i="1" s="1"/>
  <c r="L14" i="1"/>
  <c r="Q14" i="1"/>
  <c r="R14" i="1"/>
  <c r="S14" i="1" s="1"/>
  <c r="L15" i="1"/>
  <c r="Q15" i="1"/>
  <c r="R15" i="1"/>
  <c r="S15" i="1" s="1"/>
  <c r="L16" i="1"/>
  <c r="Q16" i="1"/>
  <c r="R16" i="1"/>
  <c r="S16" i="1" s="1"/>
  <c r="L17" i="1"/>
  <c r="Q17" i="1"/>
  <c r="R17" i="1"/>
  <c r="S17" i="1" s="1"/>
  <c r="L18" i="1"/>
  <c r="Q18" i="1"/>
  <c r="R18" i="1"/>
  <c r="S18" i="1" s="1"/>
  <c r="L19" i="1"/>
  <c r="Q19" i="1"/>
  <c r="R19" i="1"/>
  <c r="S19" i="1" s="1"/>
  <c r="L20" i="1"/>
  <c r="Q20" i="1"/>
  <c r="R20" i="1"/>
  <c r="S20" i="1" s="1"/>
  <c r="L21" i="1"/>
  <c r="Q21" i="1"/>
  <c r="R21" i="1"/>
  <c r="S21" i="1" s="1"/>
  <c r="L22" i="1"/>
  <c r="Q22" i="1"/>
  <c r="R22" i="1"/>
  <c r="S22" i="1" s="1"/>
  <c r="L23" i="1"/>
  <c r="Q23" i="1"/>
  <c r="R23" i="1"/>
  <c r="S23" i="1" s="1"/>
  <c r="L24" i="1"/>
  <c r="Q24" i="1"/>
  <c r="R24" i="1"/>
  <c r="S24" i="1" s="1"/>
  <c r="L25" i="1"/>
  <c r="Q25" i="1"/>
  <c r="R25" i="1"/>
  <c r="S25" i="1" s="1"/>
  <c r="L26" i="1"/>
  <c r="Q26" i="1"/>
  <c r="R26" i="1"/>
  <c r="S26" i="1" s="1"/>
  <c r="L27" i="1"/>
  <c r="Q27" i="1"/>
  <c r="R27" i="1"/>
  <c r="S27" i="1"/>
  <c r="L28" i="1"/>
  <c r="Q28" i="1"/>
  <c r="R28" i="1"/>
  <c r="S28" i="1" s="1"/>
  <c r="L29" i="1"/>
  <c r="R29" i="1"/>
  <c r="S29" i="1" s="1"/>
  <c r="L30" i="1"/>
  <c r="R30" i="1"/>
  <c r="S30" i="1" s="1"/>
  <c r="L31" i="1"/>
  <c r="Q31" i="1"/>
  <c r="R31" i="1"/>
  <c r="S31" i="1" s="1"/>
  <c r="L32" i="1"/>
  <c r="Q32" i="1"/>
  <c r="R32" i="1"/>
  <c r="S32" i="1" s="1"/>
  <c r="L33" i="1"/>
  <c r="Q33" i="1"/>
  <c r="R33" i="1"/>
  <c r="S33" i="1" s="1"/>
  <c r="L34" i="1"/>
  <c r="Q34" i="1"/>
  <c r="R34" i="1"/>
  <c r="S34" i="1" s="1"/>
  <c r="L35" i="1"/>
  <c r="Q35" i="1"/>
  <c r="R35" i="1"/>
  <c r="S35" i="1" s="1"/>
  <c r="L36" i="1"/>
  <c r="Q36" i="1"/>
  <c r="R36" i="1"/>
  <c r="S36" i="1" s="1"/>
  <c r="L37" i="1"/>
  <c r="Q37" i="1"/>
  <c r="R37" i="1"/>
  <c r="S37" i="1" s="1"/>
  <c r="L38" i="1"/>
  <c r="Q38" i="1"/>
  <c r="R38" i="1"/>
  <c r="S38" i="1" s="1"/>
  <c r="L39" i="1"/>
  <c r="Q39" i="1"/>
  <c r="R39" i="1"/>
  <c r="S39" i="1" s="1"/>
  <c r="L40" i="1"/>
  <c r="Q40" i="1"/>
  <c r="R40" i="1"/>
  <c r="S40" i="1" s="1"/>
  <c r="L41" i="1"/>
  <c r="Q41" i="1"/>
  <c r="R41" i="1"/>
  <c r="S41" i="1" s="1"/>
  <c r="L42" i="1"/>
  <c r="Q42" i="1"/>
  <c r="R42" i="1"/>
  <c r="S42" i="1" s="1"/>
  <c r="L43" i="1"/>
  <c r="Q43" i="1"/>
  <c r="R43" i="1"/>
  <c r="S43" i="1"/>
  <c r="L44" i="1"/>
  <c r="Q44" i="1"/>
  <c r="R44" i="1"/>
  <c r="S44" i="1"/>
  <c r="L45" i="1"/>
  <c r="Q45" i="1"/>
  <c r="R45" i="1"/>
  <c r="S45" i="1"/>
  <c r="L46" i="1"/>
  <c r="Q46" i="1"/>
  <c r="R46" i="1"/>
  <c r="S46" i="1"/>
  <c r="L47" i="1"/>
  <c r="Q47" i="1"/>
  <c r="R47" i="1"/>
  <c r="S47" i="1"/>
  <c r="L48" i="1"/>
  <c r="Q48" i="1"/>
  <c r="R48" i="1"/>
  <c r="S48" i="1"/>
  <c r="L49" i="1"/>
  <c r="Q49" i="1"/>
  <c r="R49" i="1"/>
  <c r="S49" i="1"/>
  <c r="L50" i="1"/>
  <c r="Q50" i="1"/>
  <c r="R50" i="1"/>
  <c r="S50" i="1"/>
  <c r="L51" i="1"/>
  <c r="Q51" i="1"/>
  <c r="R51" i="1"/>
  <c r="S51" i="1"/>
  <c r="L52" i="1"/>
  <c r="Q52" i="1"/>
  <c r="R52" i="1"/>
  <c r="S52" i="1"/>
  <c r="L53" i="1"/>
  <c r="Q53" i="1"/>
  <c r="R53" i="1"/>
  <c r="S53" i="1"/>
  <c r="L54" i="1"/>
  <c r="Q54" i="1"/>
  <c r="R54" i="1"/>
  <c r="S54" i="1"/>
  <c r="L55" i="1"/>
  <c r="Q55" i="1"/>
  <c r="R55" i="1"/>
  <c r="S55" i="1" s="1"/>
  <c r="L56" i="1"/>
  <c r="Q56" i="1"/>
  <c r="R56" i="1"/>
  <c r="S56" i="1" s="1"/>
  <c r="R57" i="1"/>
  <c r="S57" i="1" s="1"/>
  <c r="L58" i="1"/>
  <c r="Q58" i="1"/>
  <c r="R58" i="1"/>
  <c r="S58" i="1" s="1"/>
  <c r="L59" i="1"/>
  <c r="Q59" i="1"/>
  <c r="R59" i="1"/>
  <c r="S59" i="1" s="1"/>
  <c r="L60" i="1"/>
  <c r="Q60" i="1"/>
  <c r="R60" i="1"/>
  <c r="S60" i="1" s="1"/>
  <c r="L61" i="1"/>
  <c r="Q61" i="1"/>
  <c r="R61" i="1"/>
  <c r="S61" i="1" s="1"/>
  <c r="L62" i="1"/>
  <c r="Q62" i="1"/>
  <c r="R62" i="1"/>
  <c r="S62" i="1" s="1"/>
  <c r="L63" i="1"/>
  <c r="Q63" i="1"/>
  <c r="R63" i="1"/>
  <c r="S63" i="1" s="1"/>
  <c r="L64" i="1"/>
  <c r="Q64" i="1"/>
  <c r="R64" i="1"/>
  <c r="S64" i="1" s="1"/>
  <c r="L65" i="1"/>
  <c r="Q65" i="1"/>
  <c r="R65" i="1"/>
  <c r="S65" i="1" s="1"/>
  <c r="L66" i="1"/>
  <c r="Q66" i="1"/>
  <c r="R66" i="1"/>
  <c r="S66" i="1" s="1"/>
  <c r="L67" i="1"/>
  <c r="Q67" i="1"/>
  <c r="R67" i="1"/>
  <c r="S67" i="1" s="1"/>
  <c r="L68" i="1"/>
  <c r="Q68" i="1"/>
  <c r="R68" i="1"/>
  <c r="S68" i="1" s="1"/>
  <c r="L69" i="1"/>
  <c r="Q69" i="1"/>
  <c r="R69" i="1"/>
  <c r="S69" i="1" s="1"/>
  <c r="L70" i="1"/>
  <c r="Q70" i="1"/>
  <c r="R70" i="1"/>
  <c r="S70" i="1" s="1"/>
  <c r="L71" i="1"/>
  <c r="Q71" i="1"/>
  <c r="R71" i="1"/>
  <c r="S71" i="1" s="1"/>
  <c r="L72" i="1"/>
  <c r="Q72" i="1"/>
  <c r="R72" i="1"/>
  <c r="S72" i="1" s="1"/>
  <c r="L73" i="1"/>
  <c r="Q73" i="1"/>
  <c r="R73" i="1"/>
  <c r="S73" i="1" s="1"/>
  <c r="L74" i="1"/>
  <c r="Q74" i="1"/>
  <c r="R74" i="1"/>
  <c r="S74" i="1" s="1"/>
  <c r="L75" i="1"/>
  <c r="Q75" i="1"/>
  <c r="R75" i="1"/>
  <c r="S75" i="1" s="1"/>
  <c r="L76" i="1"/>
  <c r="Q76" i="1"/>
  <c r="R76" i="1"/>
  <c r="S76" i="1" s="1"/>
  <c r="L77" i="1"/>
  <c r="Q77" i="1"/>
  <c r="R77" i="1"/>
  <c r="S77" i="1" s="1"/>
  <c r="L78" i="1"/>
  <c r="Q78" i="1"/>
  <c r="R78" i="1"/>
  <c r="S78" i="1" s="1"/>
  <c r="L79" i="1"/>
  <c r="Q79" i="1"/>
  <c r="R79" i="1"/>
  <c r="S79" i="1" s="1"/>
  <c r="L80" i="1"/>
  <c r="Q80" i="1"/>
  <c r="R80" i="1"/>
  <c r="S80" i="1" s="1"/>
  <c r="L81" i="1"/>
  <c r="Q81" i="1"/>
  <c r="R81" i="1"/>
  <c r="S81" i="1" s="1"/>
  <c r="L82" i="1"/>
  <c r="Q82" i="1"/>
  <c r="R82" i="1"/>
  <c r="S82" i="1"/>
  <c r="L83" i="1"/>
  <c r="Q83" i="1"/>
  <c r="R83" i="1"/>
  <c r="S83" i="1" s="1"/>
  <c r="L84" i="1"/>
  <c r="Q84" i="1"/>
  <c r="R84" i="1"/>
  <c r="S84" i="1"/>
  <c r="L85" i="1"/>
  <c r="Q85" i="1"/>
  <c r="R85" i="1"/>
  <c r="S85" i="1"/>
  <c r="L86" i="1"/>
  <c r="Q86" i="1"/>
  <c r="R86" i="1"/>
  <c r="S86" i="1" s="1"/>
  <c r="L87" i="1"/>
  <c r="Q87" i="1"/>
  <c r="R87" i="1"/>
  <c r="S87" i="1" s="1"/>
  <c r="L88" i="1"/>
  <c r="Q88" i="1"/>
  <c r="R88" i="1"/>
  <c r="S88" i="1" s="1"/>
  <c r="L89" i="1"/>
  <c r="Q89" i="1"/>
  <c r="R89" i="1"/>
  <c r="S89" i="1"/>
  <c r="L90" i="1"/>
  <c r="Q90" i="1"/>
  <c r="R90" i="1"/>
  <c r="S90" i="1"/>
  <c r="L91" i="1"/>
  <c r="Q91" i="1"/>
  <c r="R91" i="1"/>
  <c r="S91" i="1" s="1"/>
  <c r="L92" i="1"/>
  <c r="Q92" i="1"/>
  <c r="R92" i="1"/>
  <c r="S92" i="1" s="1"/>
  <c r="L93" i="1"/>
  <c r="Q93" i="1"/>
  <c r="R93" i="1"/>
  <c r="S93" i="1" s="1"/>
  <c r="L94" i="1"/>
  <c r="Q94" i="1"/>
  <c r="R94" i="1"/>
  <c r="S94" i="1" s="1"/>
  <c r="L95" i="1"/>
  <c r="Q95" i="1"/>
  <c r="R95" i="1"/>
  <c r="S95" i="1" s="1"/>
  <c r="L96" i="1"/>
  <c r="Q96" i="1"/>
  <c r="R96" i="1"/>
  <c r="S96" i="1" s="1"/>
  <c r="L97" i="1"/>
  <c r="Q97" i="1"/>
  <c r="R97" i="1"/>
  <c r="S97" i="1" s="1"/>
  <c r="L98" i="1"/>
  <c r="Q98" i="1"/>
  <c r="R98" i="1"/>
  <c r="S98" i="1" s="1"/>
  <c r="L99" i="1"/>
  <c r="Q99" i="1"/>
  <c r="R99" i="1"/>
  <c r="S99" i="1" s="1"/>
  <c r="L100" i="1"/>
  <c r="Q100" i="1"/>
  <c r="R100" i="1"/>
  <c r="S100" i="1" s="1"/>
  <c r="L101" i="1"/>
  <c r="Q101" i="1"/>
  <c r="R101" i="1"/>
  <c r="S101" i="1" s="1"/>
  <c r="L102" i="1"/>
  <c r="Q102" i="1"/>
  <c r="R102" i="1"/>
  <c r="S102" i="1" s="1"/>
  <c r="L103" i="1"/>
  <c r="Q103" i="1"/>
  <c r="R103" i="1"/>
  <c r="S103" i="1" s="1"/>
  <c r="L104" i="1"/>
  <c r="Q104" i="1"/>
  <c r="R104" i="1"/>
  <c r="S104" i="1" s="1"/>
  <c r="L105" i="1"/>
  <c r="Q105" i="1"/>
  <c r="R105" i="1"/>
  <c r="S105" i="1"/>
  <c r="L106" i="1"/>
  <c r="Q106" i="1"/>
  <c r="R106" i="1"/>
  <c r="S106" i="1" s="1"/>
  <c r="L107" i="1"/>
  <c r="Q107" i="1"/>
  <c r="R107" i="1"/>
  <c r="S107" i="1" s="1"/>
  <c r="L108" i="1"/>
  <c r="Q108" i="1"/>
  <c r="R108" i="1"/>
  <c r="S108" i="1" s="1"/>
  <c r="L109" i="1"/>
  <c r="Q109" i="1"/>
  <c r="R109" i="1"/>
  <c r="S109" i="1" s="1"/>
  <c r="L110" i="1"/>
  <c r="Q110" i="1"/>
  <c r="R110" i="1"/>
  <c r="S110" i="1" s="1"/>
  <c r="L111" i="1"/>
  <c r="Q111" i="1"/>
  <c r="R111" i="1"/>
  <c r="S111" i="1" s="1"/>
  <c r="L112" i="1"/>
  <c r="Q112" i="1"/>
  <c r="R112" i="1"/>
  <c r="S112" i="1" s="1"/>
  <c r="L113" i="1"/>
  <c r="Q113" i="1"/>
  <c r="R113" i="1"/>
  <c r="S113" i="1" s="1"/>
  <c r="L114" i="1"/>
  <c r="Q114" i="1"/>
  <c r="R114" i="1"/>
  <c r="S114" i="1" s="1"/>
  <c r="L115" i="1"/>
  <c r="Q115" i="1"/>
  <c r="R115" i="1"/>
  <c r="S115" i="1" s="1"/>
  <c r="L116" i="1"/>
  <c r="Q116" i="1"/>
  <c r="R116" i="1"/>
  <c r="S116" i="1" s="1"/>
  <c r="L117" i="1"/>
  <c r="Q117" i="1"/>
  <c r="R117" i="1"/>
  <c r="S117" i="1" s="1"/>
  <c r="L118" i="1"/>
  <c r="Q118" i="1"/>
  <c r="R118" i="1"/>
  <c r="S118" i="1" s="1"/>
  <c r="L119" i="1"/>
  <c r="Q119" i="1"/>
  <c r="R119" i="1"/>
  <c r="S119" i="1" s="1"/>
  <c r="L120" i="1"/>
  <c r="Q120" i="1"/>
  <c r="R120" i="1"/>
  <c r="S120" i="1" s="1"/>
  <c r="L121" i="1"/>
  <c r="Q121" i="1"/>
  <c r="R121" i="1"/>
  <c r="S121" i="1" s="1"/>
  <c r="L122" i="1"/>
  <c r="Q122" i="1"/>
  <c r="R122" i="1"/>
  <c r="S122" i="1" s="1"/>
  <c r="L123" i="1"/>
  <c r="Q123" i="1"/>
  <c r="R123" i="1"/>
  <c r="S123" i="1" s="1"/>
  <c r="L124" i="1"/>
  <c r="Q124" i="1"/>
  <c r="R124" i="1"/>
  <c r="S124" i="1" s="1"/>
  <c r="L125" i="1"/>
  <c r="Q125" i="1"/>
  <c r="R125" i="1"/>
  <c r="S125" i="1" s="1"/>
  <c r="L126" i="1"/>
  <c r="Q126" i="1"/>
  <c r="R126" i="1"/>
  <c r="S126" i="1" s="1"/>
  <c r="L127" i="1"/>
  <c r="Q127" i="1"/>
  <c r="R127" i="1"/>
  <c r="S127" i="1" s="1"/>
  <c r="L128" i="1"/>
  <c r="Q128" i="1"/>
  <c r="R128" i="1"/>
  <c r="S128" i="1" s="1"/>
  <c r="L129" i="1"/>
  <c r="Q129" i="1"/>
  <c r="R129" i="1"/>
  <c r="S129" i="1" s="1"/>
  <c r="L130" i="1"/>
  <c r="Q130" i="1"/>
  <c r="R130" i="1"/>
  <c r="S130" i="1" s="1"/>
  <c r="L131" i="1"/>
  <c r="Q131" i="1"/>
  <c r="R131" i="1"/>
  <c r="S131" i="1" s="1"/>
  <c r="L132" i="1"/>
  <c r="Q132" i="1"/>
  <c r="R132" i="1"/>
  <c r="S132" i="1" s="1"/>
  <c r="L133" i="1"/>
  <c r="Q133" i="1"/>
  <c r="R133" i="1"/>
  <c r="S133" i="1" s="1"/>
  <c r="L134" i="1"/>
  <c r="Q134" i="1"/>
  <c r="R134" i="1"/>
  <c r="S134" i="1" s="1"/>
  <c r="L135" i="1"/>
  <c r="Q135" i="1"/>
  <c r="R135" i="1"/>
  <c r="S135" i="1" s="1"/>
  <c r="L136" i="1"/>
  <c r="Q136" i="1"/>
  <c r="R136" i="1"/>
  <c r="S136" i="1"/>
  <c r="L137" i="1"/>
  <c r="Q137" i="1"/>
  <c r="R137" i="1"/>
  <c r="S137" i="1" s="1"/>
  <c r="L138" i="1"/>
  <c r="Q138" i="1"/>
  <c r="R138" i="1"/>
  <c r="S138" i="1" s="1"/>
  <c r="L139" i="1"/>
  <c r="Q139" i="1"/>
  <c r="R139" i="1"/>
  <c r="S139" i="1" s="1"/>
  <c r="L140" i="1"/>
  <c r="Q140" i="1"/>
  <c r="R140" i="1"/>
  <c r="S140" i="1" s="1"/>
  <c r="L141" i="1"/>
  <c r="Q141" i="1"/>
  <c r="R141" i="1"/>
  <c r="S141" i="1"/>
  <c r="L142" i="1"/>
  <c r="Q142" i="1"/>
  <c r="R142" i="1"/>
  <c r="S142" i="1" s="1"/>
  <c r="L143" i="1"/>
  <c r="Q143" i="1"/>
  <c r="R143" i="1"/>
  <c r="S143" i="1" s="1"/>
  <c r="L144" i="1"/>
  <c r="Q144" i="1"/>
  <c r="R144" i="1"/>
  <c r="S144" i="1" s="1"/>
  <c r="L145" i="1"/>
  <c r="Q145" i="1"/>
  <c r="R145" i="1"/>
  <c r="S145" i="1" s="1"/>
  <c r="R146" i="1"/>
  <c r="S146" i="1" s="1"/>
  <c r="L147" i="1"/>
  <c r="Q147" i="1"/>
  <c r="R147" i="1"/>
  <c r="S147" i="1" s="1"/>
  <c r="L148" i="1"/>
  <c r="R148" i="1"/>
  <c r="S148" i="1" s="1"/>
  <c r="L149" i="1"/>
  <c r="Q149" i="1"/>
  <c r="R149" i="1"/>
  <c r="S149" i="1" s="1"/>
  <c r="L150" i="1"/>
  <c r="Q150" i="1"/>
  <c r="R150" i="1"/>
  <c r="S150" i="1" s="1"/>
  <c r="L151" i="1"/>
  <c r="Q151" i="1"/>
  <c r="R151" i="1"/>
  <c r="S151" i="1" s="1"/>
  <c r="L152" i="1"/>
  <c r="Q152" i="1"/>
  <c r="R152" i="1"/>
  <c r="S152" i="1" s="1"/>
  <c r="L153" i="1"/>
  <c r="Q153" i="1"/>
  <c r="R153" i="1"/>
  <c r="S153" i="1" s="1"/>
  <c r="L154" i="1"/>
  <c r="Q154" i="1"/>
  <c r="R154" i="1"/>
  <c r="S154" i="1" s="1"/>
  <c r="L155" i="1"/>
  <c r="Q155" i="1"/>
  <c r="R155" i="1"/>
  <c r="S155" i="1" s="1"/>
  <c r="L156" i="1"/>
  <c r="Q156" i="1"/>
  <c r="R156" i="1"/>
  <c r="S156" i="1" s="1"/>
  <c r="L157" i="1"/>
  <c r="Q157" i="1"/>
  <c r="R157" i="1"/>
  <c r="S157" i="1" s="1"/>
  <c r="L158" i="1"/>
  <c r="Q158" i="1"/>
  <c r="R158" i="1"/>
  <c r="S158" i="1" s="1"/>
  <c r="L159" i="1"/>
  <c r="Q159" i="1"/>
  <c r="R159" i="1"/>
  <c r="S159" i="1" s="1"/>
  <c r="L160" i="1"/>
  <c r="Q160" i="1"/>
  <c r="R160" i="1"/>
  <c r="S160" i="1" s="1"/>
  <c r="L161" i="1"/>
  <c r="Q161" i="1"/>
  <c r="R161" i="1"/>
  <c r="S161" i="1"/>
  <c r="L162" i="1"/>
  <c r="Q162" i="1"/>
  <c r="R162" i="1"/>
  <c r="S162" i="1" s="1"/>
  <c r="L163" i="1"/>
  <c r="Q163" i="1"/>
  <c r="R163" i="1"/>
  <c r="S163" i="1" s="1"/>
  <c r="L164" i="1"/>
  <c r="Q164" i="1"/>
  <c r="R164" i="1"/>
  <c r="S164" i="1" s="1"/>
  <c r="L165" i="1"/>
  <c r="Q165" i="1"/>
  <c r="R165" i="1"/>
  <c r="S165" i="1" s="1"/>
  <c r="L166" i="1"/>
  <c r="Q166" i="1"/>
  <c r="R166" i="1"/>
  <c r="S166" i="1" s="1"/>
  <c r="L167" i="1"/>
  <c r="Q167" i="1"/>
  <c r="R167" i="1"/>
  <c r="S167" i="1" s="1"/>
  <c r="L168" i="1"/>
  <c r="Q168" i="1"/>
  <c r="R168" i="1"/>
  <c r="S168" i="1" s="1"/>
  <c r="L169" i="1"/>
  <c r="Q169" i="1"/>
  <c r="R169" i="1"/>
  <c r="S169" i="1" s="1"/>
  <c r="L170" i="1"/>
  <c r="Q170" i="1"/>
  <c r="R170" i="1"/>
  <c r="S170" i="1" s="1"/>
  <c r="L171" i="1"/>
  <c r="Q171" i="1"/>
  <c r="R171" i="1"/>
  <c r="S171" i="1" s="1"/>
  <c r="L172" i="1"/>
  <c r="Q172" i="1"/>
  <c r="R172" i="1"/>
  <c r="S172" i="1" s="1"/>
  <c r="L173" i="1"/>
  <c r="Q173" i="1"/>
  <c r="R173" i="1"/>
  <c r="S173" i="1" s="1"/>
  <c r="L174" i="1"/>
  <c r="Q174" i="1"/>
  <c r="R174" i="1"/>
  <c r="S174" i="1" s="1"/>
  <c r="L175" i="1"/>
  <c r="Q175" i="1"/>
  <c r="R175" i="1"/>
  <c r="S175" i="1" s="1"/>
  <c r="L176" i="1"/>
  <c r="Q176" i="1"/>
  <c r="R176" i="1"/>
  <c r="S176" i="1" s="1"/>
  <c r="L177" i="1"/>
  <c r="Q177" i="1"/>
  <c r="R177" i="1"/>
  <c r="S177" i="1" s="1"/>
  <c r="L178" i="1"/>
  <c r="Q178" i="1"/>
  <c r="R178" i="1"/>
  <c r="S178" i="1" s="1"/>
  <c r="L179" i="1"/>
  <c r="Q179" i="1"/>
  <c r="R179" i="1"/>
  <c r="S179" i="1" s="1"/>
  <c r="L180" i="1"/>
  <c r="Q180" i="1"/>
  <c r="R180" i="1"/>
  <c r="S180" i="1" s="1"/>
  <c r="R181" i="1"/>
  <c r="S181" i="1" s="1"/>
  <c r="L182" i="1"/>
  <c r="Q182" i="1"/>
  <c r="R182" i="1"/>
  <c r="S182" i="1" s="1"/>
  <c r="L183" i="1"/>
  <c r="Q183" i="1"/>
  <c r="R183" i="1"/>
  <c r="S183" i="1" s="1"/>
  <c r="L184" i="1"/>
  <c r="Q184" i="1"/>
  <c r="R184" i="1"/>
  <c r="S184" i="1" s="1"/>
  <c r="L185" i="1"/>
  <c r="Q185" i="1"/>
  <c r="R185" i="1"/>
  <c r="S185" i="1" s="1"/>
  <c r="L186" i="1"/>
  <c r="R186" i="1"/>
  <c r="S186" i="1" s="1"/>
  <c r="L187" i="1"/>
  <c r="Q187" i="1"/>
  <c r="R187" i="1"/>
  <c r="S187" i="1" s="1"/>
  <c r="L188" i="1"/>
  <c r="Q188" i="1"/>
  <c r="R188" i="1"/>
  <c r="S188" i="1" s="1"/>
  <c r="L189" i="1"/>
  <c r="Q189" i="1"/>
  <c r="R189" i="1"/>
  <c r="S189" i="1" s="1"/>
  <c r="L190" i="1"/>
  <c r="Q190" i="1"/>
  <c r="R190" i="1"/>
  <c r="S190" i="1" s="1"/>
  <c r="L191" i="1"/>
  <c r="Q191" i="1"/>
  <c r="R191" i="1"/>
  <c r="S191" i="1" s="1"/>
  <c r="L192" i="1"/>
  <c r="Q192" i="1"/>
  <c r="R192" i="1"/>
  <c r="S192" i="1" s="1"/>
  <c r="L193" i="1"/>
  <c r="Q193" i="1"/>
  <c r="R193" i="1"/>
  <c r="S193" i="1" s="1"/>
  <c r="L194" i="1"/>
  <c r="Q194" i="1"/>
  <c r="R194" i="1"/>
  <c r="S194" i="1" s="1"/>
  <c r="L195" i="1"/>
  <c r="Q195" i="1"/>
  <c r="R195" i="1"/>
  <c r="S195" i="1" s="1"/>
  <c r="L196" i="1"/>
  <c r="Q196" i="1"/>
  <c r="R196" i="1"/>
  <c r="S196" i="1" s="1"/>
  <c r="L197" i="1"/>
  <c r="Q197" i="1"/>
  <c r="R197" i="1"/>
  <c r="S197" i="1" s="1"/>
  <c r="L198" i="1"/>
  <c r="Q198" i="1"/>
  <c r="R198" i="1"/>
  <c r="S198" i="1" s="1"/>
  <c r="L199" i="1"/>
  <c r="Q199" i="1"/>
  <c r="R199" i="1"/>
  <c r="S199" i="1" s="1"/>
  <c r="L200" i="1"/>
  <c r="Q200" i="1"/>
  <c r="R200" i="1"/>
  <c r="S200" i="1" s="1"/>
  <c r="L201" i="1"/>
  <c r="Q201" i="1"/>
  <c r="R201" i="1"/>
  <c r="S201" i="1"/>
  <c r="L202" i="1"/>
  <c r="Q202" i="1"/>
  <c r="R202" i="1"/>
  <c r="S202" i="1"/>
  <c r="L203" i="1"/>
  <c r="Q203" i="1"/>
  <c r="R203" i="1"/>
  <c r="S203" i="1" s="1"/>
  <c r="L204" i="1"/>
  <c r="Q204" i="1"/>
  <c r="R204" i="1"/>
  <c r="S204" i="1" s="1"/>
  <c r="L205" i="1"/>
  <c r="Q205" i="1"/>
  <c r="R205" i="1"/>
  <c r="S205" i="1" s="1"/>
  <c r="L206" i="1"/>
  <c r="Q206" i="1"/>
  <c r="R206" i="1"/>
  <c r="S206" i="1" s="1"/>
  <c r="L207" i="1"/>
  <c r="Q207" i="1"/>
  <c r="R207" i="1"/>
  <c r="S207" i="1"/>
  <c r="L208" i="1"/>
  <c r="Q208" i="1"/>
  <c r="R208" i="1"/>
  <c r="S208" i="1" s="1"/>
  <c r="L209" i="1"/>
  <c r="Q209" i="1"/>
  <c r="R209" i="1"/>
  <c r="S209" i="1" s="1"/>
  <c r="L210" i="1"/>
  <c r="Q210" i="1"/>
  <c r="R210" i="1"/>
  <c r="S210" i="1" s="1"/>
  <c r="L211" i="1"/>
  <c r="Q211" i="1"/>
  <c r="R211" i="1"/>
  <c r="S211" i="1" s="1"/>
  <c r="L212" i="1"/>
  <c r="Q212" i="1"/>
  <c r="R212" i="1"/>
  <c r="S212" i="1" s="1"/>
  <c r="L213" i="1"/>
  <c r="Q213" i="1"/>
  <c r="R213" i="1"/>
  <c r="S213" i="1" s="1"/>
  <c r="L214" i="1"/>
  <c r="Q214" i="1"/>
  <c r="R214" i="1"/>
  <c r="S214" i="1" s="1"/>
  <c r="R215" i="1"/>
  <c r="S215" i="1" s="1"/>
  <c r="R216" i="1"/>
  <c r="S216" i="1" s="1"/>
  <c r="R217" i="1"/>
  <c r="S217" i="1" s="1"/>
  <c r="R218" i="1"/>
  <c r="S218" i="1"/>
  <c r="L219" i="1"/>
  <c r="Q219" i="1"/>
  <c r="R219" i="1"/>
  <c r="S219" i="1" s="1"/>
  <c r="L220" i="1"/>
  <c r="Q220" i="1"/>
  <c r="R220" i="1"/>
  <c r="S220" i="1" s="1"/>
  <c r="L221" i="1"/>
  <c r="Q221" i="1"/>
  <c r="R221" i="1"/>
  <c r="S221" i="1" s="1"/>
  <c r="L222" i="1"/>
  <c r="Q222" i="1"/>
  <c r="R222" i="1"/>
  <c r="S222" i="1"/>
  <c r="L223" i="1"/>
  <c r="Q223" i="1"/>
  <c r="R223" i="1"/>
  <c r="S223" i="1" s="1"/>
  <c r="L224" i="1"/>
  <c r="Q224" i="1"/>
  <c r="R224" i="1"/>
  <c r="S224" i="1" s="1"/>
  <c r="L225" i="1"/>
  <c r="Q225" i="1"/>
  <c r="R225" i="1"/>
  <c r="S225" i="1"/>
  <c r="L226" i="1"/>
  <c r="Q226" i="1"/>
  <c r="R226" i="1"/>
  <c r="S226" i="1" s="1"/>
  <c r="L227" i="1"/>
  <c r="Q227" i="1"/>
  <c r="R227" i="1"/>
  <c r="S227" i="1" s="1"/>
  <c r="L228" i="1"/>
  <c r="Q228" i="1"/>
  <c r="R228" i="1"/>
  <c r="S228" i="1" s="1"/>
  <c r="L229" i="1"/>
  <c r="Q229" i="1"/>
  <c r="R229" i="1"/>
  <c r="S229" i="1" s="1"/>
  <c r="L230" i="1"/>
  <c r="Q230" i="1"/>
  <c r="R230" i="1"/>
  <c r="S230" i="1" s="1"/>
  <c r="L231" i="1"/>
  <c r="Q231" i="1"/>
  <c r="R231" i="1"/>
  <c r="S231" i="1" s="1"/>
  <c r="L232" i="1"/>
  <c r="Q232" i="1"/>
  <c r="R232" i="1"/>
  <c r="S232" i="1" s="1"/>
  <c r="L233" i="1"/>
  <c r="Q233" i="1"/>
  <c r="R233" i="1"/>
  <c r="S233" i="1" s="1"/>
  <c r="L234" i="1"/>
  <c r="Q234" i="1"/>
  <c r="R234" i="1"/>
  <c r="S234" i="1" s="1"/>
  <c r="L235" i="1"/>
  <c r="Q235" i="1"/>
  <c r="R235" i="1"/>
  <c r="S235" i="1" s="1"/>
  <c r="L236" i="1"/>
  <c r="Q236" i="1"/>
  <c r="R236" i="1"/>
  <c r="S236" i="1" s="1"/>
  <c r="L237" i="1"/>
  <c r="Q237" i="1"/>
  <c r="R237" i="1"/>
  <c r="S237" i="1" s="1"/>
  <c r="L238" i="1"/>
  <c r="Q238" i="1"/>
  <c r="R238" i="1"/>
  <c r="S238" i="1" s="1"/>
  <c r="L239" i="1"/>
  <c r="Q239" i="1"/>
  <c r="R239" i="1"/>
  <c r="S239" i="1" s="1"/>
  <c r="L240" i="1"/>
  <c r="Q240" i="1"/>
  <c r="R240" i="1"/>
  <c r="S240" i="1" s="1"/>
  <c r="L241" i="1"/>
  <c r="Q241" i="1"/>
  <c r="R241" i="1"/>
  <c r="S241" i="1" s="1"/>
  <c r="Q242" i="1"/>
  <c r="R242" i="1"/>
  <c r="S242" i="1" s="1"/>
  <c r="L243" i="1"/>
  <c r="Q243" i="1"/>
  <c r="R243" i="1"/>
  <c r="S243" i="1"/>
  <c r="L244" i="1"/>
  <c r="Q244" i="1"/>
  <c r="R244" i="1"/>
  <c r="S244" i="1"/>
  <c r="L245" i="1"/>
  <c r="Q245" i="1"/>
  <c r="R245" i="1"/>
  <c r="S245" i="1"/>
  <c r="L246" i="1"/>
  <c r="Q246" i="1"/>
  <c r="R246" i="1"/>
  <c r="S246" i="1" s="1"/>
  <c r="L247" i="1"/>
  <c r="Q247" i="1"/>
  <c r="R247" i="1"/>
  <c r="S247" i="1" s="1"/>
  <c r="L248" i="1"/>
  <c r="Q248" i="1"/>
  <c r="R248" i="1"/>
  <c r="S248" i="1"/>
  <c r="L249" i="1"/>
  <c r="Q249" i="1"/>
  <c r="R249" i="1"/>
  <c r="S249" i="1" s="1"/>
  <c r="L250" i="1"/>
  <c r="Q250" i="1"/>
  <c r="R250" i="1"/>
  <c r="S250" i="1" s="1"/>
  <c r="L251" i="1"/>
  <c r="Q251" i="1"/>
  <c r="R251" i="1"/>
  <c r="S251" i="1" s="1"/>
  <c r="L252" i="1"/>
  <c r="Q252" i="1"/>
  <c r="R252" i="1"/>
  <c r="S252" i="1" s="1"/>
  <c r="L253" i="1"/>
  <c r="Q253" i="1"/>
  <c r="R253" i="1"/>
  <c r="S253" i="1" s="1"/>
  <c r="L254" i="1"/>
  <c r="Q254" i="1"/>
  <c r="R254" i="1"/>
  <c r="S254" i="1" s="1"/>
  <c r="L255" i="1"/>
  <c r="Q255" i="1"/>
  <c r="R255" i="1"/>
  <c r="S255" i="1" s="1"/>
  <c r="L256" i="1"/>
  <c r="Q256" i="1"/>
  <c r="R256" i="1"/>
  <c r="S256" i="1" s="1"/>
  <c r="L257" i="1"/>
  <c r="Q257" i="1"/>
  <c r="R257" i="1"/>
  <c r="S257" i="1" s="1"/>
  <c r="L258" i="1"/>
  <c r="Q258" i="1"/>
  <c r="R258" i="1"/>
  <c r="S258" i="1" s="1"/>
  <c r="L259" i="1"/>
  <c r="Q259" i="1"/>
  <c r="R259" i="1"/>
  <c r="S259" i="1" s="1"/>
  <c r="L260" i="1"/>
  <c r="Q260" i="1"/>
  <c r="R260" i="1"/>
  <c r="S260" i="1" s="1"/>
  <c r="L261" i="1"/>
  <c r="Q261" i="1"/>
  <c r="R261" i="1"/>
  <c r="S261" i="1" s="1"/>
  <c r="L262" i="1"/>
  <c r="Q262" i="1"/>
  <c r="R262" i="1"/>
  <c r="S262" i="1" s="1"/>
  <c r="L263" i="1"/>
  <c r="Q263" i="1"/>
  <c r="R263" i="1"/>
  <c r="S263" i="1" s="1"/>
  <c r="L264" i="1"/>
  <c r="Q264" i="1"/>
  <c r="R264" i="1"/>
  <c r="S264" i="1" s="1"/>
  <c r="L265" i="1"/>
  <c r="Q265" i="1"/>
  <c r="R265" i="1"/>
  <c r="S265" i="1" s="1"/>
  <c r="L266" i="1"/>
  <c r="Q266" i="1"/>
  <c r="R266" i="1"/>
  <c r="S266" i="1" s="1"/>
  <c r="L267" i="1"/>
  <c r="Q267" i="1"/>
  <c r="R267" i="1"/>
  <c r="S267" i="1" s="1"/>
  <c r="L268" i="1"/>
  <c r="Q268" i="1"/>
  <c r="R268" i="1"/>
  <c r="S268" i="1" s="1"/>
  <c r="L269" i="1"/>
  <c r="Q269" i="1"/>
  <c r="R269" i="1"/>
  <c r="S269" i="1" s="1"/>
  <c r="L270" i="1"/>
  <c r="Q270" i="1"/>
  <c r="R270" i="1"/>
  <c r="S270" i="1" s="1"/>
  <c r="L271" i="1"/>
  <c r="Q271" i="1"/>
  <c r="R271" i="1"/>
  <c r="S271" i="1" s="1"/>
  <c r="L272" i="1"/>
  <c r="Q272" i="1"/>
  <c r="R272" i="1"/>
  <c r="S272" i="1" s="1"/>
  <c r="L273" i="1"/>
  <c r="Q273" i="1"/>
  <c r="R273" i="1"/>
  <c r="S273" i="1" s="1"/>
  <c r="L274" i="1"/>
  <c r="Q274" i="1"/>
  <c r="R274" i="1"/>
  <c r="S274" i="1" s="1"/>
  <c r="L275" i="1"/>
  <c r="Q275" i="1"/>
  <c r="R275" i="1"/>
  <c r="S275" i="1" s="1"/>
  <c r="L276" i="1"/>
  <c r="Q276" i="1"/>
  <c r="R276" i="1"/>
  <c r="S276" i="1" s="1"/>
  <c r="L277" i="1"/>
  <c r="Q277" i="1"/>
  <c r="R277" i="1"/>
  <c r="S277" i="1" s="1"/>
  <c r="L278" i="1"/>
  <c r="Q278" i="1"/>
  <c r="R278" i="1"/>
  <c r="S278" i="1" s="1"/>
  <c r="L279" i="1"/>
  <c r="Q279" i="1"/>
  <c r="R279" i="1"/>
  <c r="S279" i="1" s="1"/>
  <c r="L280" i="1"/>
  <c r="Q280" i="1"/>
  <c r="R280" i="1"/>
  <c r="S280" i="1" s="1"/>
  <c r="L281" i="1"/>
  <c r="Q281" i="1"/>
  <c r="R281" i="1"/>
  <c r="S281" i="1" s="1"/>
  <c r="L282" i="1"/>
  <c r="Q282" i="1"/>
  <c r="R282" i="1"/>
  <c r="S282" i="1" s="1"/>
  <c r="L283" i="1"/>
  <c r="Q283" i="1"/>
  <c r="R283" i="1"/>
  <c r="S283" i="1" s="1"/>
  <c r="L284" i="1"/>
  <c r="Q284" i="1"/>
  <c r="R284" i="1"/>
  <c r="S284" i="1" s="1"/>
  <c r="L285" i="1"/>
  <c r="Q285" i="1"/>
  <c r="R285" i="1"/>
  <c r="S285" i="1" s="1"/>
  <c r="L286" i="1"/>
  <c r="Q286" i="1"/>
  <c r="R286" i="1"/>
  <c r="S286" i="1" s="1"/>
  <c r="L287" i="1"/>
  <c r="Q287" i="1"/>
  <c r="R287" i="1"/>
  <c r="S287" i="1" s="1"/>
  <c r="L288" i="1"/>
  <c r="Q288" i="1"/>
  <c r="R288" i="1"/>
  <c r="S288" i="1" s="1"/>
  <c r="L289" i="1"/>
  <c r="Q289" i="1"/>
  <c r="R289" i="1"/>
  <c r="S289" i="1" s="1"/>
  <c r="L290" i="1"/>
  <c r="Q290" i="1"/>
  <c r="R290" i="1"/>
  <c r="S290" i="1" s="1"/>
  <c r="L291" i="1"/>
  <c r="Q291" i="1"/>
  <c r="R291" i="1"/>
  <c r="S291" i="1" s="1"/>
  <c r="L292" i="1"/>
  <c r="Q292" i="1"/>
  <c r="R292" i="1"/>
  <c r="S292" i="1" s="1"/>
  <c r="L293" i="1"/>
  <c r="Q293" i="1"/>
  <c r="R293" i="1"/>
  <c r="S293" i="1" s="1"/>
  <c r="L294" i="1"/>
  <c r="Q294" i="1"/>
  <c r="R294" i="1"/>
  <c r="S294" i="1" s="1"/>
  <c r="L295" i="1"/>
  <c r="Q295" i="1"/>
  <c r="R295" i="1"/>
  <c r="S295" i="1" s="1"/>
  <c r="L296" i="1"/>
  <c r="Q296" i="1"/>
  <c r="R296" i="1"/>
  <c r="S296" i="1" s="1"/>
  <c r="L297" i="1"/>
  <c r="Q297" i="1"/>
  <c r="R297" i="1"/>
  <c r="S297" i="1" s="1"/>
  <c r="L298" i="1"/>
  <c r="Q298" i="1"/>
  <c r="R298" i="1"/>
  <c r="S298" i="1" s="1"/>
  <c r="L299" i="1"/>
  <c r="Q299" i="1"/>
  <c r="R299" i="1"/>
  <c r="S299" i="1" s="1"/>
  <c r="L300" i="1"/>
  <c r="Q300" i="1"/>
  <c r="R300" i="1"/>
  <c r="S300" i="1" s="1"/>
  <c r="L301" i="1"/>
  <c r="Q301" i="1"/>
  <c r="R301" i="1"/>
  <c r="S301" i="1" s="1"/>
  <c r="L302" i="1"/>
  <c r="Q302" i="1"/>
  <c r="R302" i="1"/>
  <c r="S302" i="1" s="1"/>
  <c r="L303" i="1"/>
  <c r="Q303" i="1"/>
  <c r="R303" i="1"/>
  <c r="S303" i="1" s="1"/>
  <c r="L304" i="1"/>
  <c r="Q304" i="1"/>
  <c r="R304" i="1"/>
  <c r="S304" i="1" s="1"/>
  <c r="L305" i="1"/>
  <c r="Q305" i="1"/>
  <c r="R305" i="1"/>
  <c r="S305" i="1" s="1"/>
  <c r="L306" i="1"/>
  <c r="Q306" i="1"/>
  <c r="R306" i="1"/>
  <c r="S306" i="1" s="1"/>
  <c r="L307" i="1"/>
  <c r="Q307" i="1"/>
  <c r="R307" i="1"/>
  <c r="S307" i="1" s="1"/>
  <c r="L308" i="1"/>
  <c r="Q308" i="1"/>
  <c r="R308" i="1"/>
  <c r="S308" i="1" s="1"/>
  <c r="L309" i="1"/>
  <c r="Q309" i="1"/>
  <c r="R309" i="1"/>
  <c r="S309" i="1" s="1"/>
  <c r="L310" i="1"/>
  <c r="Q310" i="1"/>
  <c r="R310" i="1"/>
  <c r="S310" i="1" s="1"/>
  <c r="L311" i="1"/>
  <c r="Q311" i="1"/>
  <c r="R311" i="1"/>
  <c r="S311" i="1" s="1"/>
  <c r="L312" i="1"/>
  <c r="Q312" i="1"/>
  <c r="R312" i="1"/>
  <c r="S312" i="1" s="1"/>
  <c r="L313" i="1"/>
  <c r="Q313" i="1"/>
  <c r="R313" i="1"/>
  <c r="S313" i="1" s="1"/>
  <c r="L314" i="1"/>
  <c r="Q314" i="1"/>
  <c r="R314" i="1"/>
  <c r="S314" i="1" s="1"/>
  <c r="L315" i="1"/>
  <c r="Q315" i="1"/>
  <c r="R315" i="1"/>
  <c r="S315" i="1" s="1"/>
  <c r="L316" i="1"/>
  <c r="Q316" i="1"/>
  <c r="R316" i="1"/>
  <c r="S316" i="1" s="1"/>
  <c r="L317" i="1"/>
  <c r="Q317" i="1"/>
  <c r="R317" i="1"/>
  <c r="S317" i="1" s="1"/>
  <c r="L318" i="1"/>
  <c r="Q318" i="1"/>
  <c r="R318" i="1"/>
  <c r="S318" i="1" s="1"/>
  <c r="L319" i="1"/>
  <c r="Q319" i="1"/>
  <c r="R319" i="1"/>
  <c r="S319" i="1" s="1"/>
  <c r="L320" i="1"/>
  <c r="Q320" i="1"/>
  <c r="R320" i="1"/>
  <c r="S320" i="1" s="1"/>
  <c r="L321" i="1"/>
  <c r="Q321" i="1"/>
  <c r="R321" i="1"/>
  <c r="S321" i="1" s="1"/>
  <c r="L322" i="1"/>
  <c r="Q322" i="1"/>
  <c r="R322" i="1"/>
  <c r="S322" i="1" s="1"/>
  <c r="L323" i="1"/>
  <c r="Q323" i="1"/>
  <c r="R323" i="1"/>
  <c r="S323" i="1" s="1"/>
  <c r="L324" i="1"/>
  <c r="Q324" i="1"/>
  <c r="R324" i="1"/>
  <c r="S324" i="1" s="1"/>
  <c r="L325" i="1"/>
  <c r="Q325" i="1"/>
  <c r="R325" i="1"/>
  <c r="S325" i="1" s="1"/>
  <c r="L326" i="1"/>
  <c r="Q326" i="1"/>
  <c r="R326" i="1"/>
  <c r="S326" i="1" s="1"/>
  <c r="L327" i="1"/>
  <c r="Q327" i="1"/>
  <c r="R327" i="1"/>
  <c r="S327" i="1" s="1"/>
  <c r="L328" i="1"/>
  <c r="Q328" i="1"/>
  <c r="R328" i="1"/>
  <c r="S328" i="1" s="1"/>
  <c r="L329" i="1"/>
  <c r="Q329" i="1"/>
  <c r="R329" i="1"/>
  <c r="S329" i="1" s="1"/>
  <c r="L330" i="1"/>
  <c r="Q330" i="1"/>
  <c r="R330" i="1"/>
  <c r="S330" i="1" s="1"/>
  <c r="L331" i="1"/>
  <c r="Q331" i="1"/>
  <c r="R331" i="1"/>
  <c r="S331" i="1" s="1"/>
  <c r="L332" i="1"/>
  <c r="Q332" i="1"/>
  <c r="R332" i="1"/>
  <c r="S332" i="1" s="1"/>
  <c r="L333" i="1"/>
  <c r="Q333" i="1"/>
  <c r="R333" i="1"/>
  <c r="S333" i="1" s="1"/>
  <c r="L334" i="1"/>
  <c r="Q334" i="1"/>
  <c r="R334" i="1"/>
  <c r="S334" i="1" s="1"/>
  <c r="L335" i="1"/>
  <c r="Q335" i="1"/>
  <c r="R335" i="1"/>
  <c r="S335" i="1" s="1"/>
  <c r="L336" i="1"/>
  <c r="Q336" i="1"/>
  <c r="R336" i="1"/>
  <c r="S336" i="1" s="1"/>
  <c r="L337" i="1"/>
  <c r="Q337" i="1"/>
  <c r="R337" i="1"/>
  <c r="S337" i="1" s="1"/>
  <c r="L338" i="1"/>
  <c r="Q338" i="1"/>
  <c r="R338" i="1"/>
  <c r="S338" i="1" s="1"/>
  <c r="L339" i="1"/>
  <c r="Q339" i="1"/>
  <c r="R339" i="1"/>
  <c r="S339" i="1" s="1"/>
  <c r="L340" i="1"/>
  <c r="Q340" i="1"/>
  <c r="R340" i="1"/>
  <c r="S340" i="1" s="1"/>
  <c r="L341" i="1"/>
  <c r="Q341" i="1"/>
  <c r="R341" i="1"/>
  <c r="S341" i="1" s="1"/>
  <c r="L342" i="1"/>
  <c r="Q342" i="1"/>
  <c r="R342" i="1"/>
  <c r="S342" i="1" s="1"/>
  <c r="L343" i="1"/>
  <c r="Q343" i="1"/>
  <c r="R343" i="1"/>
  <c r="S343" i="1" s="1"/>
  <c r="L344" i="1"/>
  <c r="Q344" i="1"/>
  <c r="R344" i="1"/>
  <c r="S344" i="1" s="1"/>
  <c r="L345" i="1"/>
  <c r="Q345" i="1"/>
  <c r="R345" i="1"/>
  <c r="S345" i="1" s="1"/>
  <c r="L346" i="1"/>
  <c r="Q346" i="1"/>
  <c r="R346" i="1"/>
  <c r="S346" i="1" s="1"/>
  <c r="L347" i="1"/>
  <c r="Q347" i="1"/>
  <c r="R347" i="1"/>
  <c r="S347" i="1" s="1"/>
  <c r="L348" i="1"/>
  <c r="Q348" i="1"/>
  <c r="R348" i="1"/>
  <c r="S348" i="1" s="1"/>
  <c r="L349" i="1"/>
  <c r="Q349" i="1"/>
  <c r="R349" i="1"/>
  <c r="S349" i="1" s="1"/>
  <c r="L350" i="1"/>
  <c r="Q350" i="1"/>
  <c r="R350" i="1"/>
  <c r="S350" i="1" s="1"/>
  <c r="L351" i="1"/>
  <c r="R351" i="1"/>
  <c r="S351" i="1" s="1"/>
  <c r="L352" i="1"/>
  <c r="Q352" i="1"/>
  <c r="R352" i="1"/>
  <c r="S352" i="1" s="1"/>
  <c r="L353" i="1"/>
  <c r="Q353" i="1"/>
  <c r="R353" i="1"/>
  <c r="S353" i="1" s="1"/>
  <c r="L354" i="1"/>
  <c r="R354" i="1"/>
  <c r="S354" i="1" s="1"/>
  <c r="L355" i="1"/>
  <c r="Q355" i="1"/>
  <c r="R355" i="1"/>
  <c r="S355" i="1" s="1"/>
  <c r="L356" i="1"/>
  <c r="Q356" i="1"/>
  <c r="R356" i="1"/>
  <c r="S356" i="1" s="1"/>
  <c r="L357" i="1"/>
  <c r="Q357" i="1"/>
  <c r="R357" i="1"/>
  <c r="S357" i="1" s="1"/>
  <c r="L358" i="1"/>
  <c r="Q358" i="1"/>
  <c r="R358" i="1"/>
  <c r="S358" i="1" s="1"/>
  <c r="L359" i="1"/>
  <c r="Q359" i="1"/>
  <c r="R359" i="1"/>
  <c r="S359" i="1" s="1"/>
  <c r="L360" i="1"/>
  <c r="Q360" i="1"/>
  <c r="R360" i="1"/>
  <c r="S360" i="1" s="1"/>
  <c r="L361" i="1"/>
  <c r="Q361" i="1"/>
  <c r="R361" i="1"/>
  <c r="S361" i="1" s="1"/>
  <c r="L362" i="1"/>
  <c r="Q362" i="1"/>
  <c r="R362" i="1"/>
  <c r="S362" i="1" s="1"/>
  <c r="L363" i="1"/>
  <c r="Q363" i="1"/>
  <c r="R363" i="1"/>
  <c r="S363" i="1" s="1"/>
  <c r="L364" i="1"/>
  <c r="Q364" i="1"/>
  <c r="R364" i="1"/>
  <c r="S364" i="1" s="1"/>
  <c r="L365" i="1"/>
  <c r="Q365" i="1"/>
  <c r="R365" i="1"/>
  <c r="S365" i="1" s="1"/>
  <c r="L366" i="1"/>
  <c r="Q366" i="1"/>
  <c r="R366" i="1"/>
  <c r="S366" i="1" s="1"/>
  <c r="L367" i="1"/>
  <c r="Q367" i="1"/>
  <c r="R367" i="1"/>
  <c r="S367" i="1" s="1"/>
  <c r="L368" i="1"/>
  <c r="R368" i="1"/>
  <c r="S368" i="1" s="1"/>
  <c r="L369" i="1"/>
  <c r="Q369" i="1"/>
  <c r="R369" i="1"/>
  <c r="S369" i="1" s="1"/>
  <c r="L370" i="1"/>
  <c r="R370" i="1"/>
  <c r="S370" i="1" s="1"/>
  <c r="L371" i="1"/>
  <c r="Q371" i="1"/>
  <c r="R371" i="1"/>
  <c r="S371" i="1" s="1"/>
  <c r="L372" i="1"/>
  <c r="Q372" i="1"/>
  <c r="R372" i="1"/>
  <c r="S372" i="1" s="1"/>
  <c r="L373" i="1"/>
  <c r="R373" i="1"/>
  <c r="S373" i="1" s="1"/>
  <c r="L374" i="1"/>
  <c r="Q374" i="1"/>
  <c r="R374" i="1"/>
  <c r="S374" i="1" s="1"/>
  <c r="L375" i="1"/>
  <c r="Q375" i="1"/>
  <c r="R375" i="1"/>
  <c r="S375" i="1" s="1"/>
  <c r="L376" i="1"/>
  <c r="Q376" i="1"/>
  <c r="R376" i="1"/>
  <c r="S376" i="1" s="1"/>
  <c r="L377" i="1"/>
  <c r="Q377" i="1"/>
  <c r="R377" i="1"/>
  <c r="S377" i="1" s="1"/>
  <c r="L378" i="1"/>
  <c r="Q378" i="1"/>
  <c r="R378" i="1"/>
  <c r="S378" i="1" s="1"/>
  <c r="L379" i="1"/>
  <c r="R379" i="1"/>
  <c r="S379" i="1" s="1"/>
  <c r="L380" i="1"/>
  <c r="Q380" i="1"/>
  <c r="R380" i="1"/>
  <c r="S380" i="1" s="1"/>
  <c r="L381" i="1"/>
  <c r="Q381" i="1"/>
  <c r="R381" i="1"/>
  <c r="S381" i="1" s="1"/>
  <c r="L382" i="1"/>
  <c r="Q382" i="1"/>
  <c r="R382" i="1"/>
  <c r="S382" i="1" s="1"/>
  <c r="L383" i="1"/>
  <c r="Q383" i="1"/>
  <c r="R383" i="1"/>
  <c r="S383" i="1" s="1"/>
  <c r="L384" i="1"/>
  <c r="Q384" i="1"/>
  <c r="R384" i="1"/>
  <c r="S384" i="1" s="1"/>
  <c r="L385" i="1"/>
  <c r="Q385" i="1"/>
  <c r="R385" i="1"/>
  <c r="S385" i="1" s="1"/>
  <c r="L386" i="1"/>
  <c r="Q386" i="1"/>
  <c r="R386" i="1"/>
  <c r="S386" i="1" s="1"/>
  <c r="L387" i="1"/>
  <c r="Q387" i="1"/>
  <c r="R387" i="1"/>
  <c r="S387" i="1" s="1"/>
  <c r="L388" i="1"/>
  <c r="Q388" i="1"/>
  <c r="R388" i="1"/>
  <c r="S388" i="1" s="1"/>
  <c r="L389" i="1"/>
  <c r="Q389" i="1"/>
  <c r="R389" i="1"/>
  <c r="S389" i="1" s="1"/>
  <c r="L390" i="1"/>
  <c r="Q390" i="1"/>
  <c r="R390" i="1"/>
  <c r="S390" i="1" s="1"/>
  <c r="L391" i="1"/>
  <c r="Q391" i="1"/>
  <c r="R391" i="1"/>
  <c r="S391" i="1" s="1"/>
  <c r="L392" i="1"/>
  <c r="Q392" i="1"/>
  <c r="R392" i="1"/>
  <c r="S392" i="1" s="1"/>
  <c r="L393" i="1"/>
  <c r="Q393" i="1"/>
  <c r="R393" i="1"/>
  <c r="S393" i="1" s="1"/>
  <c r="L394" i="1"/>
  <c r="Q394" i="1"/>
  <c r="R394" i="1"/>
  <c r="S394" i="1" s="1"/>
  <c r="L395" i="1"/>
  <c r="Q395" i="1"/>
  <c r="R395" i="1"/>
  <c r="S395" i="1" s="1"/>
  <c r="L396" i="1"/>
  <c r="Q396" i="1"/>
  <c r="R396" i="1"/>
  <c r="S396" i="1" s="1"/>
  <c r="L397" i="1"/>
  <c r="Q397" i="1"/>
  <c r="R397" i="1"/>
  <c r="S397" i="1" s="1"/>
  <c r="L398" i="1"/>
  <c r="Q398" i="1"/>
  <c r="R398" i="1"/>
  <c r="S398" i="1" s="1"/>
  <c r="L399" i="1"/>
  <c r="Q399" i="1"/>
  <c r="R399" i="1"/>
  <c r="S399" i="1" s="1"/>
  <c r="L400" i="1"/>
  <c r="Q400" i="1"/>
  <c r="R400" i="1"/>
  <c r="S400" i="1" s="1"/>
  <c r="L401" i="1"/>
  <c r="Q401" i="1"/>
  <c r="R401" i="1"/>
  <c r="S401" i="1" s="1"/>
  <c r="L402" i="1"/>
  <c r="Q402" i="1"/>
  <c r="R402" i="1"/>
  <c r="S402" i="1" s="1"/>
  <c r="L403" i="1"/>
  <c r="Q403" i="1"/>
  <c r="R403" i="1"/>
  <c r="S403" i="1" s="1"/>
  <c r="L404" i="1"/>
  <c r="Q404" i="1"/>
  <c r="R404" i="1"/>
  <c r="S404" i="1" s="1"/>
  <c r="L405" i="1"/>
  <c r="Q405" i="1"/>
  <c r="R405" i="1"/>
  <c r="S405" i="1" s="1"/>
  <c r="L406" i="1"/>
  <c r="R406" i="1"/>
  <c r="S406" i="1" s="1"/>
  <c r="L407" i="1"/>
  <c r="Q407" i="1"/>
  <c r="R407" i="1"/>
  <c r="S407" i="1" s="1"/>
  <c r="L408" i="1"/>
  <c r="Q408" i="1"/>
  <c r="R408" i="1"/>
  <c r="S408" i="1" s="1"/>
  <c r="L409" i="1"/>
  <c r="Q409" i="1"/>
  <c r="R409" i="1"/>
  <c r="S409" i="1" s="1"/>
  <c r="L410" i="1"/>
  <c r="Q410" i="1"/>
  <c r="R410" i="1"/>
  <c r="S410" i="1" s="1"/>
  <c r="L411" i="1"/>
  <c r="Q411" i="1"/>
  <c r="R411" i="1"/>
  <c r="S411" i="1" s="1"/>
  <c r="L412" i="1"/>
  <c r="Q412" i="1"/>
  <c r="R412" i="1"/>
  <c r="S412" i="1" s="1"/>
  <c r="L413" i="1"/>
  <c r="R413" i="1"/>
  <c r="S413" i="1" s="1"/>
  <c r="L414" i="1"/>
  <c r="Q414" i="1"/>
  <c r="R414" i="1"/>
  <c r="S414" i="1" s="1"/>
  <c r="L415" i="1"/>
  <c r="Q415" i="1"/>
  <c r="R415" i="1"/>
  <c r="S415" i="1" s="1"/>
  <c r="R416" i="1"/>
  <c r="S416" i="1" s="1"/>
  <c r="L417" i="1"/>
  <c r="Q417" i="1"/>
  <c r="R417" i="1"/>
  <c r="S417" i="1" s="1"/>
  <c r="L418" i="1"/>
  <c r="Q418" i="1"/>
  <c r="R418" i="1"/>
  <c r="S418" i="1" s="1"/>
  <c r="L419" i="1"/>
  <c r="R419" i="1"/>
  <c r="S419" i="1" s="1"/>
  <c r="L420" i="1"/>
  <c r="Q420" i="1"/>
  <c r="R420" i="1"/>
  <c r="S420" i="1" s="1"/>
  <c r="L421" i="1"/>
  <c r="Q421" i="1"/>
  <c r="R421" i="1"/>
  <c r="S421" i="1" s="1"/>
  <c r="L422" i="1"/>
  <c r="Q422" i="1"/>
  <c r="R422" i="1"/>
  <c r="S422" i="1" s="1"/>
  <c r="L423" i="1"/>
  <c r="Q423" i="1"/>
  <c r="R423" i="1"/>
  <c r="S423" i="1" s="1"/>
  <c r="L424" i="1"/>
  <c r="Q424" i="1"/>
  <c r="R424" i="1"/>
  <c r="S424" i="1" s="1"/>
  <c r="L425" i="1"/>
  <c r="R425" i="1"/>
  <c r="S425" i="1" s="1"/>
  <c r="L426" i="1"/>
  <c r="R426" i="1"/>
  <c r="S426" i="1" s="1"/>
  <c r="R427" i="1"/>
  <c r="S427" i="1" s="1"/>
  <c r="L428" i="1"/>
  <c r="Q428" i="1"/>
  <c r="R428" i="1"/>
  <c r="S428" i="1" s="1"/>
  <c r="L429" i="1"/>
  <c r="Q429" i="1"/>
  <c r="R429" i="1"/>
  <c r="S429" i="1" s="1"/>
  <c r="L430" i="1"/>
  <c r="R430" i="1"/>
  <c r="S430" i="1" s="1"/>
  <c r="L431" i="1"/>
  <c r="Q431" i="1"/>
  <c r="R431" i="1"/>
  <c r="S431" i="1" s="1"/>
  <c r="L432" i="1"/>
  <c r="Q432" i="1"/>
  <c r="R432" i="1"/>
  <c r="S432" i="1" s="1"/>
  <c r="L433" i="1"/>
  <c r="Q433" i="1"/>
  <c r="R433" i="1"/>
  <c r="S433" i="1" s="1"/>
  <c r="L434" i="1"/>
  <c r="Q434" i="1"/>
  <c r="R434" i="1"/>
  <c r="S434" i="1" s="1"/>
  <c r="L435" i="1"/>
  <c r="Q435" i="1"/>
  <c r="R435" i="1"/>
  <c r="S435" i="1" s="1"/>
  <c r="L436" i="1"/>
  <c r="Q436" i="1"/>
  <c r="R436" i="1"/>
  <c r="S436" i="1" s="1"/>
  <c r="L437" i="1"/>
  <c r="Q437" i="1"/>
  <c r="R437" i="1"/>
  <c r="S437" i="1" s="1"/>
  <c r="L438" i="1"/>
  <c r="Q438" i="1"/>
  <c r="R438" i="1"/>
  <c r="S438" i="1" s="1"/>
  <c r="L439" i="1"/>
  <c r="R439" i="1"/>
  <c r="S439" i="1" s="1"/>
  <c r="L440" i="1"/>
  <c r="R440" i="1"/>
  <c r="S440" i="1" s="1"/>
  <c r="L441" i="1"/>
  <c r="Q441" i="1"/>
  <c r="R441" i="1"/>
  <c r="S441" i="1" s="1"/>
  <c r="L442" i="1"/>
  <c r="Q442" i="1"/>
  <c r="R442" i="1"/>
  <c r="S442" i="1" s="1"/>
  <c r="L443" i="1"/>
  <c r="Q443" i="1"/>
  <c r="R443" i="1"/>
  <c r="S443" i="1" s="1"/>
  <c r="L444" i="1"/>
  <c r="R444" i="1"/>
  <c r="S444" i="1" s="1"/>
  <c r="L445" i="1"/>
  <c r="R445" i="1"/>
  <c r="S445" i="1" s="1"/>
  <c r="L446" i="1"/>
  <c r="Q446" i="1"/>
  <c r="R446" i="1"/>
  <c r="S446" i="1" s="1"/>
  <c r="L447" i="1"/>
  <c r="Q447" i="1"/>
  <c r="R447" i="1"/>
  <c r="S447" i="1" s="1"/>
  <c r="L448" i="1"/>
  <c r="Q448" i="1"/>
  <c r="R448" i="1"/>
  <c r="S448" i="1" s="1"/>
  <c r="L449" i="1"/>
  <c r="Q449" i="1"/>
  <c r="R449" i="1"/>
  <c r="S449" i="1" s="1"/>
  <c r="L450" i="1"/>
  <c r="R450" i="1"/>
  <c r="S450" i="1" s="1"/>
  <c r="L451" i="1"/>
  <c r="Q451" i="1"/>
  <c r="R451" i="1"/>
  <c r="S451" i="1" s="1"/>
  <c r="L452" i="1"/>
  <c r="Q452" i="1"/>
  <c r="R452" i="1"/>
  <c r="S452" i="1" s="1"/>
  <c r="L453" i="1"/>
  <c r="Q453" i="1"/>
  <c r="R453" i="1"/>
  <c r="S453" i="1" s="1"/>
  <c r="L454" i="1"/>
  <c r="Q454" i="1"/>
  <c r="R454" i="1"/>
  <c r="S454" i="1" s="1"/>
  <c r="L455" i="1"/>
  <c r="Q455" i="1"/>
  <c r="R455" i="1"/>
  <c r="S455" i="1" s="1"/>
  <c r="L456" i="1"/>
  <c r="Q456" i="1"/>
  <c r="R456" i="1"/>
  <c r="S456" i="1" s="1"/>
  <c r="L457" i="1"/>
  <c r="Q457" i="1"/>
  <c r="R457" i="1"/>
  <c r="S457" i="1" s="1"/>
  <c r="R458" i="1"/>
  <c r="S458" i="1" s="1"/>
  <c r="L459" i="1"/>
  <c r="Q459" i="1"/>
  <c r="R459" i="1"/>
  <c r="S459" i="1" s="1"/>
  <c r="L460" i="1"/>
  <c r="Q460" i="1"/>
  <c r="R460" i="1"/>
  <c r="S460" i="1" s="1"/>
  <c r="L461" i="1"/>
  <c r="Q461" i="1"/>
  <c r="R461" i="1"/>
  <c r="S461" i="1" s="1"/>
  <c r="L462" i="1"/>
  <c r="Q462" i="1"/>
  <c r="R462" i="1"/>
  <c r="S462" i="1" s="1"/>
  <c r="L463" i="1"/>
  <c r="Q463" i="1"/>
  <c r="R463" i="1"/>
  <c r="S463" i="1" s="1"/>
  <c r="R464" i="1"/>
  <c r="S464" i="1" s="1"/>
  <c r="L465" i="1"/>
  <c r="Q465" i="1"/>
  <c r="R465" i="1"/>
  <c r="S465" i="1" s="1"/>
  <c r="L466" i="1"/>
  <c r="Q466" i="1"/>
  <c r="R466" i="1"/>
  <c r="S466" i="1" s="1"/>
  <c r="L467" i="1"/>
  <c r="Q467" i="1"/>
  <c r="R467" i="1"/>
  <c r="S467" i="1" s="1"/>
  <c r="L468" i="1"/>
  <c r="Q468" i="1"/>
  <c r="R468" i="1"/>
  <c r="S468" i="1" s="1"/>
  <c r="L469" i="1"/>
  <c r="Q469" i="1"/>
  <c r="R469" i="1"/>
  <c r="S469" i="1" s="1"/>
  <c r="L470" i="1"/>
  <c r="Q470" i="1"/>
  <c r="R470" i="1"/>
  <c r="S470" i="1" s="1"/>
  <c r="L471" i="1"/>
  <c r="Q471" i="1"/>
  <c r="R471" i="1"/>
  <c r="S471" i="1" s="1"/>
  <c r="L472" i="1"/>
  <c r="Q472" i="1"/>
  <c r="R472" i="1"/>
  <c r="S472" i="1" s="1"/>
  <c r="L473" i="1"/>
  <c r="Q473" i="1"/>
  <c r="R473" i="1"/>
  <c r="S473" i="1" s="1"/>
  <c r="L474" i="1"/>
  <c r="Q474" i="1"/>
  <c r="R474" i="1"/>
  <c r="S474" i="1" s="1"/>
  <c r="L475" i="1"/>
  <c r="Q475" i="1"/>
  <c r="R475" i="1"/>
  <c r="S475" i="1" s="1"/>
  <c r="L476" i="1"/>
  <c r="Q476" i="1"/>
  <c r="R476" i="1"/>
  <c r="S476" i="1" s="1"/>
  <c r="L477" i="1"/>
  <c r="Q477" i="1"/>
  <c r="R477" i="1"/>
  <c r="S477" i="1" s="1"/>
  <c r="L478" i="1"/>
  <c r="Q478" i="1"/>
  <c r="R478" i="1"/>
  <c r="S478" i="1" s="1"/>
  <c r="L479" i="1"/>
  <c r="Q479" i="1"/>
  <c r="R479" i="1"/>
  <c r="S479" i="1" s="1"/>
  <c r="L480" i="1"/>
  <c r="Q480" i="1"/>
  <c r="R480" i="1"/>
  <c r="S480" i="1" s="1"/>
  <c r="L481" i="1"/>
  <c r="Q481" i="1"/>
  <c r="R481" i="1"/>
  <c r="S481" i="1" s="1"/>
  <c r="L482" i="1"/>
  <c r="Q482" i="1"/>
  <c r="R482" i="1"/>
  <c r="S482" i="1" s="1"/>
  <c r="L483" i="1"/>
  <c r="Q483" i="1"/>
  <c r="R483" i="1"/>
  <c r="S483" i="1" s="1"/>
  <c r="L484" i="1"/>
  <c r="Q484" i="1"/>
  <c r="R484" i="1"/>
  <c r="S484" i="1" s="1"/>
  <c r="L485" i="1"/>
  <c r="Q485" i="1"/>
  <c r="R485" i="1"/>
  <c r="S485" i="1" s="1"/>
  <c r="L486" i="1"/>
  <c r="Q486" i="1"/>
  <c r="R486" i="1"/>
  <c r="S486" i="1" s="1"/>
  <c r="L487" i="1"/>
  <c r="Q487" i="1"/>
  <c r="R487" i="1"/>
  <c r="S487" i="1" s="1"/>
  <c r="L488" i="1"/>
  <c r="Q488" i="1"/>
  <c r="R488" i="1"/>
  <c r="S488" i="1" s="1"/>
  <c r="L489" i="1"/>
  <c r="Q489" i="1"/>
  <c r="R489" i="1"/>
  <c r="S489" i="1" s="1"/>
  <c r="L490" i="1"/>
  <c r="Q490" i="1"/>
  <c r="R490" i="1"/>
  <c r="S490" i="1" s="1"/>
  <c r="L491" i="1"/>
  <c r="Q491" i="1"/>
  <c r="R491" i="1"/>
  <c r="S491" i="1" s="1"/>
  <c r="L492" i="1"/>
  <c r="Q492" i="1"/>
  <c r="R492" i="1"/>
  <c r="S492" i="1" s="1"/>
  <c r="L493" i="1"/>
  <c r="Q493" i="1"/>
  <c r="R493" i="1"/>
  <c r="S493" i="1" s="1"/>
  <c r="L494" i="1"/>
  <c r="Q494" i="1"/>
  <c r="R494" i="1"/>
  <c r="S494" i="1" s="1"/>
  <c r="L495" i="1"/>
  <c r="Q495" i="1"/>
  <c r="R495" i="1"/>
  <c r="S495" i="1" s="1"/>
  <c r="L496" i="1"/>
  <c r="Q496" i="1"/>
  <c r="R496" i="1"/>
  <c r="S496" i="1" s="1"/>
  <c r="L497" i="1"/>
  <c r="Q497" i="1"/>
  <c r="R497" i="1"/>
  <c r="S497" i="1" s="1"/>
  <c r="L498" i="1"/>
  <c r="Q498" i="1"/>
  <c r="R498" i="1"/>
  <c r="S498" i="1" s="1"/>
  <c r="L499" i="1"/>
  <c r="Q499" i="1"/>
  <c r="R499" i="1"/>
  <c r="S499" i="1" s="1"/>
  <c r="L500" i="1"/>
  <c r="Q500" i="1"/>
  <c r="R500" i="1"/>
  <c r="S500" i="1" s="1"/>
  <c r="L501" i="1"/>
  <c r="Q501" i="1"/>
  <c r="R501" i="1"/>
  <c r="S501" i="1" s="1"/>
  <c r="L502" i="1"/>
  <c r="Q502" i="1"/>
  <c r="R502" i="1"/>
  <c r="S502" i="1" s="1"/>
  <c r="L503" i="1"/>
  <c r="Q503" i="1"/>
  <c r="R503" i="1"/>
  <c r="S503" i="1" s="1"/>
  <c r="L504" i="1"/>
  <c r="Q504" i="1"/>
  <c r="R504" i="1"/>
  <c r="S504" i="1" s="1"/>
  <c r="L505" i="1"/>
  <c r="Q505" i="1"/>
  <c r="R505" i="1"/>
  <c r="S505" i="1" s="1"/>
  <c r="L506" i="1"/>
  <c r="Q506" i="1"/>
  <c r="R506" i="1"/>
  <c r="S506" i="1" s="1"/>
  <c r="L507" i="1"/>
  <c r="Q507" i="1"/>
  <c r="R507" i="1"/>
  <c r="S507" i="1" s="1"/>
  <c r="L508" i="1"/>
  <c r="Q508" i="1"/>
  <c r="R508" i="1"/>
  <c r="S508" i="1" s="1"/>
  <c r="L509" i="1"/>
  <c r="Q509" i="1"/>
  <c r="R509" i="1"/>
  <c r="S509" i="1" s="1"/>
  <c r="L510" i="1"/>
  <c r="Q510" i="1"/>
  <c r="R510" i="1"/>
  <c r="S510" i="1" s="1"/>
  <c r="L511" i="1"/>
  <c r="Q511" i="1"/>
  <c r="R511" i="1"/>
  <c r="S511" i="1" s="1"/>
  <c r="L512" i="1"/>
  <c r="Q512" i="1"/>
  <c r="R512" i="1"/>
  <c r="S512" i="1" s="1"/>
  <c r="L513" i="1"/>
  <c r="Q513" i="1"/>
  <c r="R513" i="1"/>
  <c r="S513" i="1" s="1"/>
  <c r="L514" i="1"/>
  <c r="Q514" i="1"/>
  <c r="R514" i="1"/>
  <c r="S514" i="1" s="1"/>
  <c r="L515" i="1"/>
  <c r="Q515" i="1"/>
  <c r="R515" i="1"/>
  <c r="S515" i="1" s="1"/>
  <c r="L516" i="1"/>
  <c r="Q516" i="1"/>
  <c r="R516" i="1"/>
  <c r="S516" i="1" s="1"/>
  <c r="L517" i="1"/>
  <c r="Q517" i="1"/>
  <c r="R517" i="1"/>
  <c r="S517" i="1" s="1"/>
  <c r="L518" i="1"/>
  <c r="Q518" i="1"/>
  <c r="R518" i="1"/>
  <c r="S518" i="1" s="1"/>
  <c r="L519" i="1"/>
  <c r="Q519" i="1"/>
  <c r="R519" i="1"/>
  <c r="S519" i="1" s="1"/>
  <c r="L520" i="1"/>
  <c r="Q520" i="1"/>
  <c r="R520" i="1"/>
  <c r="S520" i="1" s="1"/>
  <c r="L521" i="1"/>
  <c r="Q521" i="1"/>
  <c r="R521" i="1"/>
  <c r="S521" i="1" s="1"/>
  <c r="L522" i="1"/>
  <c r="Q522" i="1"/>
  <c r="R522" i="1"/>
  <c r="S522" i="1" s="1"/>
  <c r="L523" i="1"/>
  <c r="Q523" i="1"/>
  <c r="R523" i="1"/>
  <c r="S523" i="1" s="1"/>
  <c r="L524" i="1"/>
  <c r="Q524" i="1"/>
  <c r="R524" i="1"/>
  <c r="S524" i="1" s="1"/>
  <c r="L525" i="1"/>
  <c r="Q525" i="1"/>
  <c r="R525" i="1"/>
  <c r="S525" i="1" s="1"/>
  <c r="L526" i="1"/>
  <c r="Q526" i="1"/>
  <c r="R526" i="1"/>
  <c r="S526" i="1" s="1"/>
  <c r="L527" i="1"/>
  <c r="Q527" i="1"/>
  <c r="R527" i="1"/>
  <c r="S527" i="1" s="1"/>
  <c r="L528" i="1"/>
  <c r="Q528" i="1"/>
  <c r="R528" i="1"/>
  <c r="S528" i="1" s="1"/>
  <c r="L529" i="1"/>
  <c r="Q529" i="1"/>
  <c r="R529" i="1"/>
  <c r="S529" i="1" s="1"/>
  <c r="L530" i="1"/>
  <c r="Q530" i="1"/>
  <c r="R530" i="1"/>
  <c r="S530" i="1" s="1"/>
  <c r="L531" i="1"/>
  <c r="Q531" i="1"/>
  <c r="R531" i="1"/>
  <c r="S531" i="1" s="1"/>
  <c r="R532" i="1"/>
  <c r="S532" i="1" s="1"/>
  <c r="R533" i="1"/>
  <c r="S533" i="1" s="1"/>
  <c r="R534" i="1"/>
  <c r="S534" i="1" s="1"/>
  <c r="L535" i="1"/>
  <c r="Q535" i="1"/>
  <c r="R535" i="1"/>
  <c r="S535" i="1" s="1"/>
  <c r="L536" i="1"/>
  <c r="Q536" i="1"/>
  <c r="R536" i="1"/>
  <c r="S536" i="1" s="1"/>
  <c r="L537" i="1"/>
  <c r="Q537" i="1"/>
  <c r="R537" i="1"/>
  <c r="S537" i="1" s="1"/>
  <c r="L538" i="1"/>
  <c r="Q538" i="1"/>
  <c r="R538" i="1"/>
  <c r="S538" i="1" s="1"/>
  <c r="L539" i="1"/>
  <c r="Q539" i="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1" i="1"/>
  <c r="S551" i="1" s="1"/>
  <c r="R552" i="1"/>
  <c r="S552" i="1" s="1"/>
  <c r="L553" i="1"/>
  <c r="R553" i="1"/>
  <c r="S553" i="1" s="1"/>
  <c r="R554" i="1"/>
  <c r="S554" i="1" s="1"/>
  <c r="R555" i="1"/>
  <c r="S555" i="1" s="1"/>
  <c r="R556" i="1"/>
  <c r="S556" i="1" s="1"/>
  <c r="L557" i="1"/>
  <c r="R557" i="1"/>
  <c r="S557" i="1" s="1"/>
  <c r="L558" i="1"/>
  <c r="R558" i="1"/>
  <c r="S558" i="1" s="1"/>
  <c r="L559" i="1"/>
  <c r="R559" i="1"/>
  <c r="S559" i="1" s="1"/>
  <c r="L560" i="1"/>
  <c r="R560" i="1"/>
  <c r="S560" i="1" s="1"/>
  <c r="R561" i="1"/>
  <c r="S561" i="1" s="1"/>
  <c r="L562" i="1"/>
  <c r="R562" i="1"/>
  <c r="S562" i="1" s="1"/>
  <c r="L563" i="1"/>
  <c r="R563" i="1"/>
  <c r="S563" i="1" s="1"/>
  <c r="L564" i="1"/>
  <c r="R564" i="1"/>
  <c r="S564" i="1" s="1"/>
  <c r="L565" i="1"/>
  <c r="R565" i="1"/>
  <c r="S565" i="1" s="1"/>
  <c r="R566" i="1"/>
  <c r="S566" i="1" s="1"/>
  <c r="L567" i="1"/>
  <c r="R567" i="1"/>
  <c r="S567" i="1" s="1"/>
  <c r="L568" i="1"/>
  <c r="R568" i="1"/>
  <c r="S568" i="1" s="1"/>
  <c r="L569" i="1"/>
  <c r="R569" i="1"/>
  <c r="S569" i="1" s="1"/>
  <c r="L570" i="1"/>
  <c r="R570" i="1"/>
  <c r="S570" i="1" s="1"/>
  <c r="L571" i="1"/>
  <c r="R571" i="1"/>
  <c r="S571" i="1" s="1"/>
  <c r="L572" i="1"/>
  <c r="R572" i="1"/>
  <c r="S572" i="1" s="1"/>
  <c r="L573" i="1"/>
  <c r="R573" i="1"/>
  <c r="S573" i="1" s="1"/>
  <c r="L574" i="1"/>
  <c r="R574" i="1"/>
  <c r="S574" i="1" s="1"/>
  <c r="L575" i="1"/>
  <c r="R575" i="1"/>
  <c r="S575" i="1" s="1"/>
  <c r="L576" i="1"/>
  <c r="R576" i="1"/>
  <c r="S576" i="1" s="1"/>
  <c r="R577" i="1"/>
  <c r="S577" i="1" s="1"/>
  <c r="L578" i="1"/>
  <c r="R578" i="1"/>
  <c r="S578" i="1" s="1"/>
</calcChain>
</file>

<file path=xl/sharedStrings.xml><?xml version="1.0" encoding="utf-8"?>
<sst xmlns="http://schemas.openxmlformats.org/spreadsheetml/2006/main" count="5271" uniqueCount="1477">
  <si>
    <t>Abu Dhabi</t>
  </si>
  <si>
    <t>Auto renewal</t>
  </si>
  <si>
    <t>Active</t>
  </si>
  <si>
    <t>10% Off</t>
  </si>
  <si>
    <t>Fashion</t>
  </si>
  <si>
    <t>Fashion &amp; Retail</t>
  </si>
  <si>
    <t>YaHala Exclusive</t>
  </si>
  <si>
    <t>Allied enterprise</t>
  </si>
  <si>
    <t>Rene Caovilla</t>
  </si>
  <si>
    <t>X23938183</t>
  </si>
  <si>
    <t>Dec-5-2025</t>
  </si>
  <si>
    <t>Karl Lagerfeld</t>
  </si>
  <si>
    <t>X23938142</t>
  </si>
  <si>
    <t>Kids Around</t>
  </si>
  <si>
    <t>X23938239</t>
  </si>
  <si>
    <t>15%Off</t>
  </si>
  <si>
    <t>SAJ</t>
  </si>
  <si>
    <t>Giorgio Armani</t>
  </si>
  <si>
    <t>X23938136</t>
  </si>
  <si>
    <t>YSL</t>
  </si>
  <si>
    <t>X23938135</t>
  </si>
  <si>
    <t>Molton Brown</t>
  </si>
  <si>
    <t>X23938193</t>
  </si>
  <si>
    <t>Bobbie Brown</t>
  </si>
  <si>
    <t>X23938237</t>
  </si>
  <si>
    <t>Vercase</t>
  </si>
  <si>
    <t>X23938139</t>
  </si>
  <si>
    <t>Lacoste</t>
  </si>
  <si>
    <t>X23938186</t>
  </si>
  <si>
    <t>Tyran</t>
  </si>
  <si>
    <t>X23938191</t>
  </si>
  <si>
    <t>Michael Kors</t>
  </si>
  <si>
    <t>X23938182</t>
  </si>
  <si>
    <t>NARS</t>
  </si>
  <si>
    <t>X23938198</t>
  </si>
  <si>
    <t xml:space="preserve">10% Off </t>
  </si>
  <si>
    <t>KILIAN</t>
  </si>
  <si>
    <t>X23938210</t>
  </si>
  <si>
    <t>FREDERIC MALLE</t>
  </si>
  <si>
    <t>X23938236</t>
  </si>
  <si>
    <t>Autorenewal</t>
  </si>
  <si>
    <t>Deactive</t>
  </si>
  <si>
    <t>Inactive</t>
  </si>
  <si>
    <t>VILLARI</t>
  </si>
  <si>
    <t>X23938375</t>
  </si>
  <si>
    <t>15% Off</t>
  </si>
  <si>
    <t>Men's grooming</t>
  </si>
  <si>
    <t>Beauty &amp; Fitness</t>
  </si>
  <si>
    <t>1847 Salons</t>
  </si>
  <si>
    <t>X23942246</t>
  </si>
  <si>
    <t>YAHALALC</t>
  </si>
  <si>
    <t>http://uae.thelowcalories.com/</t>
  </si>
  <si>
    <t>Informal Dining &amp; Takeaway</t>
  </si>
  <si>
    <t>Food &amp; Drinks</t>
  </si>
  <si>
    <t>Low Calories restaurants</t>
  </si>
  <si>
    <t>Low Calories</t>
  </si>
  <si>
    <t>X23947492</t>
  </si>
  <si>
    <t>Dubai</t>
  </si>
  <si>
    <t>Allied Enterprise</t>
  </si>
  <si>
    <t>Ghawali</t>
  </si>
  <si>
    <t>X23950055</t>
  </si>
  <si>
    <t>10%-15%</t>
  </si>
  <si>
    <t>Use Code YAHALAPMO</t>
  </si>
  <si>
    <t>noon</t>
  </si>
  <si>
    <t>Grocery &amp; Off-Licence</t>
  </si>
  <si>
    <t>Noon Group</t>
  </si>
  <si>
    <t>Noon Food</t>
  </si>
  <si>
    <t>X23953433</t>
  </si>
  <si>
    <t>Noon super mall</t>
  </si>
  <si>
    <t>X23953435</t>
  </si>
  <si>
    <t xml:space="preserve">Noon one </t>
  </si>
  <si>
    <t>X23953648</t>
  </si>
  <si>
    <t>10% -15%-20%-5%</t>
  </si>
  <si>
    <t>Furniture</t>
  </si>
  <si>
    <t>Ebarza Trading</t>
  </si>
  <si>
    <t>Ebarza</t>
  </si>
  <si>
    <t>X23958843</t>
  </si>
  <si>
    <t>Apr-8-2026</t>
  </si>
  <si>
    <t>Casual dining</t>
  </si>
  <si>
    <t>independent management group</t>
  </si>
  <si>
    <t>Salt</t>
  </si>
  <si>
    <t>X23959679</t>
  </si>
  <si>
    <t>Somewhere</t>
  </si>
  <si>
    <t>X23959689</t>
  </si>
  <si>
    <t>Public</t>
  </si>
  <si>
    <t>X23959694</t>
  </si>
  <si>
    <t>Parkers</t>
  </si>
  <si>
    <t>X23959683</t>
  </si>
  <si>
    <t>No action required</t>
  </si>
  <si>
    <t>GUESS</t>
  </si>
  <si>
    <t>X23938188</t>
  </si>
  <si>
    <t>Faces</t>
  </si>
  <si>
    <t>X23938189</t>
  </si>
  <si>
    <t>Deactivate</t>
  </si>
  <si>
    <t>CHRISTOFLE</t>
  </si>
  <si>
    <t>X23938200</t>
  </si>
  <si>
    <t>BACCARAT</t>
  </si>
  <si>
    <t>X23938199</t>
  </si>
  <si>
    <t>Jun-6-2026</t>
  </si>
  <si>
    <t>20% Off</t>
  </si>
  <si>
    <t>Confectionery</t>
  </si>
  <si>
    <t>Chocolala</t>
  </si>
  <si>
    <t>Chocolala - Abu Dhabi</t>
  </si>
  <si>
    <t>X23961660</t>
  </si>
  <si>
    <t>Jun-11-2026</t>
  </si>
  <si>
    <t>Bogo Offers</t>
  </si>
  <si>
    <t>Food &amp; Beverage</t>
  </si>
  <si>
    <t>Poke &amp; Co</t>
  </si>
  <si>
    <t>X23961745</t>
  </si>
  <si>
    <t>Jul-14-2026</t>
  </si>
  <si>
    <t>Exclusive rates on stay</t>
  </si>
  <si>
    <t>Travel</t>
  </si>
  <si>
    <t>Hotel &amp; Travel</t>
  </si>
  <si>
    <t>Yahala merchants</t>
  </si>
  <si>
    <t>Dnata travel</t>
  </si>
  <si>
    <t>X23962779</t>
  </si>
  <si>
    <t>Jul -9-2026</t>
  </si>
  <si>
    <t>Yahala Merchants</t>
  </si>
  <si>
    <t>Jumeirah Marsa Al Arab Hotel</t>
  </si>
  <si>
    <t>X23962664</t>
  </si>
  <si>
    <t>The Chancery Rosewood London</t>
  </si>
  <si>
    <t>X23962674</t>
  </si>
  <si>
    <t>Hilton Hotels</t>
  </si>
  <si>
    <t>DoubleTree by Hilton Hotel Dubai Jumeirah Beach LLC</t>
  </si>
  <si>
    <t>X21144909</t>
  </si>
  <si>
    <t>The WB Abu Dhabi, Curio Collection by Hilton</t>
  </si>
  <si>
    <t>X23962641</t>
  </si>
  <si>
    <t>Hilton Abu Dhabi Yas Island</t>
  </si>
  <si>
    <t>X23962642</t>
  </si>
  <si>
    <t>Cafe</t>
  </si>
  <si>
    <t>Sidr lab Cafe</t>
  </si>
  <si>
    <t>X23962072</t>
  </si>
  <si>
    <t>Need new contract</t>
  </si>
  <si>
    <t>inactive</t>
  </si>
  <si>
    <t>25% Off sessions</t>
  </si>
  <si>
    <t>Health &amp; Fitness</t>
  </si>
  <si>
    <t>Cryo</t>
  </si>
  <si>
    <t>X23954329</t>
  </si>
  <si>
    <t>Confectionary</t>
  </si>
  <si>
    <t>Chocolala L.L.C</t>
  </si>
  <si>
    <t>X23961659</t>
  </si>
  <si>
    <t>50-20% multiple offers</t>
  </si>
  <si>
    <t>NA</t>
  </si>
  <si>
    <t>Sports &amp; Leisure</t>
  </si>
  <si>
    <t>Attraction &amp;Leisure</t>
  </si>
  <si>
    <t>S7 padel</t>
  </si>
  <si>
    <t>S7 Padel</t>
  </si>
  <si>
    <t>X23960774</t>
  </si>
  <si>
    <t>Multiple offers</t>
  </si>
  <si>
    <t>The LOB</t>
  </si>
  <si>
    <t>X23960735</t>
  </si>
  <si>
    <t>Apr-29-2026</t>
  </si>
  <si>
    <t>different offers</t>
  </si>
  <si>
    <t>Team Padel pro DMCC</t>
  </si>
  <si>
    <t>Padel Pro</t>
  </si>
  <si>
    <t>G23960223</t>
  </si>
  <si>
    <t>Padel Pro Al Quoz</t>
  </si>
  <si>
    <t>X23960226</t>
  </si>
  <si>
    <t>Padel Pro one centre</t>
  </si>
  <si>
    <t>X23960224</t>
  </si>
  <si>
    <t>Attractions</t>
  </si>
  <si>
    <t>Edge Cycling</t>
  </si>
  <si>
    <t>EDGE</t>
  </si>
  <si>
    <t>X23960216</t>
  </si>
  <si>
    <t>Dubai park&amp; Resorts</t>
  </si>
  <si>
    <t>T-Rex glamping</t>
  </si>
  <si>
    <t>X23958307</t>
  </si>
  <si>
    <t>30% off</t>
  </si>
  <si>
    <t>RealMadrid world</t>
  </si>
  <si>
    <t>X23944456</t>
  </si>
  <si>
    <t>Neon Galaxy</t>
  </si>
  <si>
    <t>X23940952</t>
  </si>
  <si>
    <t>Legoland &amp; waterpark</t>
  </si>
  <si>
    <t>X23949739</t>
  </si>
  <si>
    <t>Legoland</t>
  </si>
  <si>
    <t>X23913582</t>
  </si>
  <si>
    <t>Motiongate</t>
  </si>
  <si>
    <t>X23913579</t>
  </si>
  <si>
    <t>50% off on waterpark admission</t>
  </si>
  <si>
    <t>Wild wadi</t>
  </si>
  <si>
    <t>X037838</t>
  </si>
  <si>
    <t>no action required</t>
  </si>
  <si>
    <t>10% off ultimate fare bookings using promo code ULTPMO</t>
  </si>
  <si>
    <t>promo code ULTPMO</t>
  </si>
  <si>
    <t>airarabia</t>
  </si>
  <si>
    <t>Air Arabia</t>
  </si>
  <si>
    <t>X23949284</t>
  </si>
  <si>
    <t>25% off cricket, padel, badminton or basketball court rental</t>
  </si>
  <si>
    <t>EMAAR ENTERTAINMENT</t>
  </si>
  <si>
    <t>The burj club</t>
  </si>
  <si>
    <t>X23756734</t>
  </si>
  <si>
    <t>25% On Courses, Enrolments, recording studio</t>
  </si>
  <si>
    <t>Zabeel Sports District</t>
  </si>
  <si>
    <t>X23915178</t>
  </si>
  <si>
    <t>25% Off music lessons-off recording studio- enrollements courses</t>
  </si>
  <si>
    <t>Creative Arts &amp; Eduction</t>
  </si>
  <si>
    <t>Arabic Music Institute</t>
  </si>
  <si>
    <t>X23942161</t>
  </si>
  <si>
    <t>25% Off</t>
  </si>
  <si>
    <t>adventure park</t>
  </si>
  <si>
    <t>X23950521</t>
  </si>
  <si>
    <t>Single Ride 25%
Premium Ticket Double Rides 25%
Supreme Ticket Three Rides 25%</t>
  </si>
  <si>
    <t>The storm coaster dubai hills mal</t>
  </si>
  <si>
    <t>X23927978</t>
  </si>
  <si>
    <t>The Observatory General Admission- Adult 25%, The Observatory General Admission- 25% of kids admissions,  admission, café and retail 25%, 25% off Edge walk
The Observatory General Admission- Child (3-8 yrs.) 25%</t>
  </si>
  <si>
    <t>Sky View observatory</t>
  </si>
  <si>
    <t>X23927981</t>
  </si>
  <si>
    <t>Reload Credits 25%</t>
  </si>
  <si>
    <t>Play DXB exist in SF AS VR theme park</t>
  </si>
  <si>
    <t>X23870285</t>
  </si>
  <si>
    <t>Hello PARK</t>
  </si>
  <si>
    <t>X23942869</t>
  </si>
  <si>
    <t>20%Off &amp; 25% Off</t>
  </si>
  <si>
    <t>The dubai fountain</t>
  </si>
  <si>
    <t>X23890833</t>
  </si>
  <si>
    <t>Treatment &amp; Gym membership 30% Off</t>
  </si>
  <si>
    <t>Spas</t>
  </si>
  <si>
    <t>The burj club spa</t>
  </si>
  <si>
    <t>X23880982</t>
  </si>
  <si>
    <t>15% off</t>
  </si>
  <si>
    <t>Cinema &amp; Theatre</t>
  </si>
  <si>
    <t>Vox cinema</t>
  </si>
  <si>
    <t>X23856584</t>
  </si>
  <si>
    <t>Standard Ticket 25%
Standard Plus 25%
Dolby Cinema Plus 25%
Premier Tickets 25%
Reel Cinemas Food &amp; Beverages from the total bill 20%, Platinum Suites 25%</t>
  </si>
  <si>
    <t>Reel cinema</t>
  </si>
  <si>
    <t>X23865132</t>
  </si>
  <si>
    <t>Pass 7</t>
  </si>
  <si>
    <t>VR PARK SUPER</t>
  </si>
  <si>
    <t>X23950067</t>
  </si>
  <si>
    <t xml:space="preserve">The Lounge 10%
LVL 148 10%
Level 124,125 10%
</t>
  </si>
  <si>
    <t>At the top burj khalifa</t>
  </si>
  <si>
    <t>X22217928</t>
  </si>
  <si>
    <t>Stay &amp; Dig</t>
  </si>
  <si>
    <t>Dig It</t>
  </si>
  <si>
    <t>X23880619</t>
  </si>
  <si>
    <t>Double session</t>
  </si>
  <si>
    <t>Ekart zabeel</t>
  </si>
  <si>
    <t>X23891680</t>
  </si>
  <si>
    <t>General Admission-off peak session 25%</t>
  </si>
  <si>
    <t>Dubai ice rink</t>
  </si>
  <si>
    <t>X035990</t>
  </si>
  <si>
    <t>Regular Pass 20%</t>
  </si>
  <si>
    <t>Dubai Aquarium &amp; Underwater Zoo</t>
  </si>
  <si>
    <t>X035916</t>
  </si>
  <si>
    <t>Economy Admission 4-16 yrs. old  25%
Adult Entry 17 years old 25%
Toddler Entry (2-3 yrs.) 25%</t>
  </si>
  <si>
    <t>Kidzania- AD</t>
  </si>
  <si>
    <t>X23884658</t>
  </si>
  <si>
    <t>Economy Admission 4-16 yrs. old  25%
Adult Entry 25%
Toddler Entry (2-3 yrs.) 25%</t>
  </si>
  <si>
    <t>Kidzania- Dubai</t>
  </si>
  <si>
    <t>X105745</t>
  </si>
  <si>
    <t>"Maximum of 6 guests
AED 190 Snow Classic
AED 240 Snow Plus
AED 380 Snow Premium
AED 150 Discovery lessons
AED 215 Group Lessons for Adults
AED 195 Group Lessons for Kids 
AED 170 Slope Session Adults(2 Hours)
AED 145 Slope Session Child(2 Hours) 
AED 99 Little Explorers Day Pass(MICC)
AED 99 Little Explorers Day Pass(DMM)
AED 154 iFLY(Standard Package)
AED 24 Yalla Bowling(weekdays)
AED 28 Per Game-Yalla Bowling(Weekends)
Govt&amp;Ministries 105 AED+10 Blue Swipers-Magic Planet(UAE)"</t>
  </si>
  <si>
    <t>Ski Dubai</t>
  </si>
  <si>
    <t>X036795</t>
  </si>
  <si>
    <t>"Discount of 15% on Eligible Ticket/Cabin products.
Yahala Card Holder 18 years and above."</t>
  </si>
  <si>
    <t>Ain Dubai</t>
  </si>
  <si>
    <t>X23908474</t>
  </si>
  <si>
    <t>General Admission Ticket AED 150 per person</t>
  </si>
  <si>
    <t>IMG World of adventure</t>
  </si>
  <si>
    <t>X23873104</t>
  </si>
  <si>
    <t>40% discount on Diving Centre and scuba diving</t>
  </si>
  <si>
    <t>Mermaid Diving Centre</t>
  </si>
  <si>
    <t>X23901440</t>
  </si>
  <si>
    <t>Exclusive corporate rates &amp; discounts</t>
  </si>
  <si>
    <t>Amwaj Al Bahr Boat and Yachts Chartering</t>
  </si>
  <si>
    <t>X23880440</t>
  </si>
  <si>
    <t>"•	Adult Tickets from AED188.10 with Free Popcorn 
•	Child Tickets from AED 148 with Free Popcorn 
•	Book two La Perle Tickets and get 1 night stay @ V Hotel From  AED381
•	Show Dinner Packages From AED294  (restaurants situated within the three hotels at Al Habtoor City such as, Summer Place, Babiole , Zoco. The City Grill)
  TERMS AND CONDITIONS:
	Offer valid for online bookings
	Special rate for kids 12 years old and younger and each ticket includes a complimentary popcorn 
	 All kids need tickets and kids under the age of two are not recommended to attend the show 
	 Once purchased online, tickets can be collected 30 to 60 minutes prior to the show 
	Kids must be present at ticket collection and have an Emirates ID or Passport 
	All kids must be accompanied by an adult with a paid ticket 
	Hotel bookings are valid only for night of show and reservation will be made automatically. 
	Guest responsible for any Hotel service fees, municipality fees and VAT.
	Hotel stay is room only, no F&amp;B included, but guests may avail of a 25% discount applicable in all outlets. 
	Visit www.laperle.com and use the code GCDRJ29
"</t>
  </si>
  <si>
    <t>GCDRJ29 - GOVKBF85</t>
  </si>
  <si>
    <t>la perle</t>
  </si>
  <si>
    <t>Al Habtoor Theatre LLC</t>
  </si>
  <si>
    <t>La Perle</t>
  </si>
  <si>
    <t>X23879758</t>
  </si>
  <si>
    <t>Educational</t>
  </si>
  <si>
    <t>Everyday Services</t>
  </si>
  <si>
    <t>World of Music &amp; Dance Institute</t>
  </si>
  <si>
    <t>X23908480</t>
  </si>
  <si>
    <t xml:space="preserve">10% off on Silver, 15% off on Gold and 20% off on Platinum.
Valid for Ya ha la employees, 
Offer valid in all Melodica branches. </t>
  </si>
  <si>
    <t>Melodica Music &amp; Dance Institute-ad</t>
  </si>
  <si>
    <t>X21656470</t>
  </si>
  <si>
    <t>Gems Education</t>
  </si>
  <si>
    <t>X23933313</t>
  </si>
  <si>
    <t>7% off Tutition fees corprate</t>
  </si>
  <si>
    <t>Repton School Dubai</t>
  </si>
  <si>
    <t>X23880396</t>
  </si>
  <si>
    <t>7.5% off Tutition fees corprate</t>
  </si>
  <si>
    <t>Nord Anglia International School Dubai</t>
  </si>
  <si>
    <t>X23885160</t>
  </si>
  <si>
    <t>25-35% off(3000AED per month per child in Dubai and Abu Dhabi  Brunches and 2000AED in Sharjah branch)</t>
  </si>
  <si>
    <t>Britsh Ordchard Nursery</t>
  </si>
  <si>
    <t>British Ordchard Nursery</t>
  </si>
  <si>
    <t>X23881334</t>
  </si>
  <si>
    <t>Up to 15%</t>
  </si>
  <si>
    <t>Automotive</t>
  </si>
  <si>
    <t>HERTZ</t>
  </si>
  <si>
    <t>X217713</t>
  </si>
  <si>
    <t>Special Discount</t>
  </si>
  <si>
    <t>Lexus</t>
  </si>
  <si>
    <t>X23880430</t>
  </si>
  <si>
    <t>Up to 5%</t>
  </si>
  <si>
    <t>Porsche</t>
  </si>
  <si>
    <t>X23880939</t>
  </si>
  <si>
    <t>Special discounts with Mercedes Benz corporate programme</t>
  </si>
  <si>
    <t>Mercedes Benz</t>
  </si>
  <si>
    <t>X23880431</t>
  </si>
  <si>
    <t>Special discounts &amp; exclusive benefits</t>
  </si>
  <si>
    <t>Volkswagen</t>
  </si>
  <si>
    <t>X23881003</t>
  </si>
  <si>
    <t>Exclusive benefits with BMW corporate programme</t>
  </si>
  <si>
    <t>BMW</t>
  </si>
  <si>
    <t>X23881311</t>
  </si>
  <si>
    <t>Up to 20%</t>
  </si>
  <si>
    <t>www.europcar</t>
  </si>
  <si>
    <t>Europcar</t>
  </si>
  <si>
    <t>X23880302</t>
  </si>
  <si>
    <t>International car rental</t>
  </si>
  <si>
    <t>Hotel Promo Car Rental</t>
  </si>
  <si>
    <t>X23880238</t>
  </si>
  <si>
    <t>Multi offers</t>
  </si>
  <si>
    <t>Grand Service Station</t>
  </si>
  <si>
    <t>X23890036</t>
  </si>
  <si>
    <t>in process</t>
  </si>
  <si>
    <t>Exclusive 20%-15%</t>
  </si>
  <si>
    <t>PMO24</t>
  </si>
  <si>
    <t>sixt.com.eg</t>
  </si>
  <si>
    <t>Sixt Rent a car</t>
  </si>
  <si>
    <t>Sixt Rent a Car</t>
  </si>
  <si>
    <t>X22859859</t>
  </si>
  <si>
    <t>Exclusive Rate on Stay</t>
  </si>
  <si>
    <t>Emmar Hospiltality</t>
  </si>
  <si>
    <t>vida hotel &amp; Reseort</t>
  </si>
  <si>
    <t>X23881346</t>
  </si>
  <si>
    <t>The adress hotel &amp; Resort</t>
  </si>
  <si>
    <t>X23881344</t>
  </si>
  <si>
    <t>Nirvana Travel and Tourism - Yahala</t>
  </si>
  <si>
    <t>X23930485</t>
  </si>
  <si>
    <t>The Carlton Tower</t>
  </si>
  <si>
    <t>X23941263</t>
  </si>
  <si>
    <t>Capri Palace</t>
  </si>
  <si>
    <t>X23941249</t>
  </si>
  <si>
    <t>Jumeirah Nanjing</t>
  </si>
  <si>
    <t>X23941261</t>
  </si>
  <si>
    <t>Jumeirah Himalayas Ho</t>
  </si>
  <si>
    <t>X23941253</t>
  </si>
  <si>
    <t>Jumeirah Maldives Olhahali Island</t>
  </si>
  <si>
    <t>X23941258</t>
  </si>
  <si>
    <t>Jumeirah Living Guangzhou</t>
  </si>
  <si>
    <t>X23941232</t>
  </si>
  <si>
    <t>Jumeirah Bali</t>
  </si>
  <si>
    <t>X23941250</t>
  </si>
  <si>
    <t>Jumeirah Port Soller Hotel &amp; Spa</t>
  </si>
  <si>
    <t>X23941262</t>
  </si>
  <si>
    <t>Jumeirah Lowndes Hotel</t>
  </si>
  <si>
    <t>X23941256</t>
  </si>
  <si>
    <t>Jumeirah Makkah</t>
  </si>
  <si>
    <t>X23941257</t>
  </si>
  <si>
    <t>Jumeirah Messilah Beach Hotel &amp; Spa - Kuwait</t>
  </si>
  <si>
    <t>X23941259</t>
  </si>
  <si>
    <t>Jumeirah Gulf of Bahrain Resort &amp; Spa - Bahrain - Yahala</t>
  </si>
  <si>
    <t>X23941252</t>
  </si>
  <si>
    <t>Rosewood london</t>
  </si>
  <si>
    <t>X23955931</t>
  </si>
  <si>
    <t>Jan-9-2026</t>
  </si>
  <si>
    <t>One and Only Zabeel</t>
  </si>
  <si>
    <t>X23945832</t>
  </si>
  <si>
    <t>Siro by one and only</t>
  </si>
  <si>
    <t>X23952915</t>
  </si>
  <si>
    <t xml:space="preserve">Jumeirah Muscat Bay </t>
  </si>
  <si>
    <t>`X23941260</t>
  </si>
  <si>
    <t>Palace Beach Resort Fujairah</t>
  </si>
  <si>
    <t>X23924630</t>
  </si>
  <si>
    <t>The Dubai EDITION</t>
  </si>
  <si>
    <t>X23926690</t>
  </si>
  <si>
    <t>As per Faisal's request</t>
  </si>
  <si>
    <t>Etihad Airline</t>
  </si>
  <si>
    <t>X23940177</t>
  </si>
  <si>
    <t>Jan-8-2026</t>
  </si>
  <si>
    <t>Palazzo Versace Dubai rooms/F&amp;B/SPA</t>
  </si>
  <si>
    <t>X23174758</t>
  </si>
  <si>
    <t>Anantara World Island</t>
  </si>
  <si>
    <t>X23924989</t>
  </si>
  <si>
    <t>Terra Solis</t>
  </si>
  <si>
    <t>X23930877</t>
  </si>
  <si>
    <t>SLS Dubai Hotel &amp; Residences</t>
  </si>
  <si>
    <t>X23914722</t>
  </si>
  <si>
    <t>One&amp;Only The Palm</t>
  </si>
  <si>
    <t>X23930154</t>
  </si>
  <si>
    <t>The Oberoi Ajman</t>
  </si>
  <si>
    <t>X23239433</t>
  </si>
  <si>
    <t>Nikki Beach Resort &amp; Spa Dubai</t>
  </si>
  <si>
    <t>X23947242</t>
  </si>
  <si>
    <t>Al Maha Desert Resort</t>
  </si>
  <si>
    <t>X23172465</t>
  </si>
  <si>
    <t>N/A</t>
  </si>
  <si>
    <t>Zaya Nurai Island</t>
  </si>
  <si>
    <t>X23426495</t>
  </si>
  <si>
    <t>Waldorf Astoria - Ras Al Khaimah</t>
  </si>
  <si>
    <t>X23174890</t>
  </si>
  <si>
    <t>W Dubai The Palm</t>
  </si>
  <si>
    <t>X23881341</t>
  </si>
  <si>
    <t>VOCO Hotel- Yahala</t>
  </si>
  <si>
    <t>X23930151</t>
  </si>
  <si>
    <t>V Hotel Dubai, Curio Collection by Hilton</t>
  </si>
  <si>
    <t>X23891910</t>
  </si>
  <si>
    <t>Traders Hotel, Qaryat Al Beri, Abu Dhabi</t>
  </si>
  <si>
    <t>X037752</t>
  </si>
  <si>
    <t>The St. Regis Saadiyat Island Resort</t>
  </si>
  <si>
    <t>X23881307</t>
  </si>
  <si>
    <t>The Retreat Palm Dubai MGallery by Sofitel</t>
  </si>
  <si>
    <t>X23113846</t>
  </si>
  <si>
    <t>The Meydan Hotel</t>
  </si>
  <si>
    <t>X037678</t>
  </si>
  <si>
    <t>The Bulgari Resort Dubai</t>
  </si>
  <si>
    <t>X23881314</t>
  </si>
  <si>
    <t>Telal Resort Al Ain</t>
  </si>
  <si>
    <t>X23881206</t>
  </si>
  <si>
    <t>St Regis Abu Dhabi Corniche</t>
  </si>
  <si>
    <t>X23889024</t>
  </si>
  <si>
    <t>Sofitel the palm</t>
  </si>
  <si>
    <t>X21391174</t>
  </si>
  <si>
    <t>Non stop</t>
  </si>
  <si>
    <t>WOW Sochi</t>
  </si>
  <si>
    <t>X23885795</t>
  </si>
  <si>
    <t>Six Senses Zighy Bay</t>
  </si>
  <si>
    <t>X23881223</t>
  </si>
  <si>
    <t>Six Senses Laamu - Yahala</t>
  </si>
  <si>
    <t>X23930479</t>
  </si>
  <si>
    <t>Sheraton Sharjah Beach Resort &amp; Spa</t>
  </si>
  <si>
    <t>X23930129</t>
  </si>
  <si>
    <t>Al Badayer Oasis - Yahala</t>
  </si>
  <si>
    <t>X23930453</t>
  </si>
  <si>
    <t>Al Faya Lodge - Yahala</t>
  </si>
  <si>
    <t>X23930454</t>
  </si>
  <si>
    <t>Kingfisher Lodge - Yahala</t>
  </si>
  <si>
    <t>X23930482</t>
  </si>
  <si>
    <t>Shangri-La Hotel-Qaryat Al Beri - Yahala</t>
  </si>
  <si>
    <t>X23930026</t>
  </si>
  <si>
    <t>Shangri-La Hotel Dubai</t>
  </si>
  <si>
    <t>X23143107</t>
  </si>
  <si>
    <t>Saadiyat Rotana Resorts &amp; Villas</t>
  </si>
  <si>
    <t>X23891552</t>
  </si>
  <si>
    <t>Dec-9-2025</t>
  </si>
  <si>
    <t>Rosewood Abu Dhabi</t>
  </si>
  <si>
    <t>X23885503</t>
  </si>
  <si>
    <t>X23091536</t>
  </si>
  <si>
    <t>Rixos Saadiyat Island</t>
  </si>
  <si>
    <t>X23885675</t>
  </si>
  <si>
    <t>Rixos Premium Dubai JBR</t>
  </si>
  <si>
    <t>X23885673</t>
  </si>
  <si>
    <t>Rixos bab A bahr</t>
  </si>
  <si>
    <t>X23930152</t>
  </si>
  <si>
    <t>Renaissance Downtown Hotel</t>
  </si>
  <si>
    <t>X23283012</t>
  </si>
  <si>
    <t>Queen Elizabeth 2 Hotel</t>
  </si>
  <si>
    <t>X23881586</t>
  </si>
  <si>
    <t>Raffles Dubai</t>
  </si>
  <si>
    <t>X23174761</t>
  </si>
  <si>
    <t>Qasr Al Sarab Desert Resort by Anantara - Yahala</t>
  </si>
  <si>
    <t>X23930030</t>
  </si>
  <si>
    <t>Peninsula Hotels Worldwide - Peninsula Hotels Worldwide</t>
  </si>
  <si>
    <t>X23881211</t>
  </si>
  <si>
    <t>Park Hyatt Abu Dhabi Hotel and Villa - Yahala</t>
  </si>
  <si>
    <t>X23930028</t>
  </si>
  <si>
    <t>Palazzo Versace Dubai</t>
  </si>
  <si>
    <t>X23944995</t>
  </si>
  <si>
    <t>Hatta Damani Lodges Resort by Meraas</t>
  </si>
  <si>
    <t>X23892099</t>
  </si>
  <si>
    <t>Melia Desert Palm, Dubai</t>
  </si>
  <si>
    <t>X23881339</t>
  </si>
  <si>
    <t>Marriott Hotel Al Forsan Abu Dhabi</t>
  </si>
  <si>
    <t>X23881198</t>
  </si>
  <si>
    <t>deactivate</t>
  </si>
  <si>
    <t>Marjan Island Resort &amp; Spa - Yahala</t>
  </si>
  <si>
    <t>X23930165</t>
  </si>
  <si>
    <t>Mandarin Oriental Munich</t>
  </si>
  <si>
    <t>X23893606</t>
  </si>
  <si>
    <t>Mandarin Oriental Jumeira Dubai</t>
  </si>
  <si>
    <t>X23881389</t>
  </si>
  <si>
    <t>Jumeirah Mina A'Salam</t>
  </si>
  <si>
    <t>X23888415</t>
  </si>
  <si>
    <t>La Ville Hotel &amp; Suites</t>
  </si>
  <si>
    <t>X23881258</t>
  </si>
  <si>
    <t>Kempinski Hotel Mall of the Emirates</t>
  </si>
  <si>
    <t>X23174671</t>
  </si>
  <si>
    <t>Conrad Abu Dhabi Etihad Tower</t>
  </si>
  <si>
    <t>X23888421</t>
  </si>
  <si>
    <t>Jumeirah Beach Hotel</t>
  </si>
  <si>
    <t>X23888414</t>
  </si>
  <si>
    <t>Jumeirah Zabeel Saray</t>
  </si>
  <si>
    <t>X23174627</t>
  </si>
  <si>
    <t>Kempinski Hotel &amp; Residences Palm Jumeirah</t>
  </si>
  <si>
    <t>X23174663</t>
  </si>
  <si>
    <t>Jumeirah Al Qasr Hotel</t>
  </si>
  <si>
    <t>X23888416</t>
  </si>
  <si>
    <t>Jumeirah Emirates Towers</t>
  </si>
  <si>
    <t>X23174628</t>
  </si>
  <si>
    <t>Jumeirah at saadiyat Island resort</t>
  </si>
  <si>
    <t>X23888419</t>
  </si>
  <si>
    <t>Jumeirah Al Naseem</t>
  </si>
  <si>
    <t>X23888412</t>
  </si>
  <si>
    <t>Lapita</t>
  </si>
  <si>
    <t>X23930174</t>
  </si>
  <si>
    <t>JA Ocean View Hotel-Yahala</t>
  </si>
  <si>
    <t>X23930171</t>
  </si>
  <si>
    <t>JA Hatta Fort Hotel - Yahala</t>
  </si>
  <si>
    <t>X23929957</t>
  </si>
  <si>
    <t>JA Oasis Beach Tower - Yahala</t>
  </si>
  <si>
    <t>X23930168</t>
  </si>
  <si>
    <t>Ja beach hotel-Yahala</t>
  </si>
  <si>
    <t>X23930230</t>
  </si>
  <si>
    <t>Ja palm tree court- Yahala</t>
  </si>
  <si>
    <t>X23930172</t>
  </si>
  <si>
    <t>InterContinental Fujairah Resort</t>
  </si>
  <si>
    <t>X23881587</t>
  </si>
  <si>
    <t>interContinental Dubai Marina</t>
  </si>
  <si>
    <t>X23172728</t>
  </si>
  <si>
    <t>Hyatt Regency Dubai Creek Heights Residences- Yahala</t>
  </si>
  <si>
    <t>X23930173</t>
  </si>
  <si>
    <t>Hotel Lvtetia Paris</t>
  </si>
  <si>
    <t>X23893960</t>
  </si>
  <si>
    <t>Hotel Cafe Royal London</t>
  </si>
  <si>
    <t>X23881348</t>
  </si>
  <si>
    <t>Hilton Dubai Al Habtoor City</t>
  </si>
  <si>
    <t>X23891911</t>
  </si>
  <si>
    <t>Ja Hatta Fort Hotel - Yahala</t>
  </si>
  <si>
    <t>Al Habtoor Palace Hotel</t>
  </si>
  <si>
    <t>X23891909</t>
  </si>
  <si>
    <t>Park Hyatt Abu Dhabi Hotel and Villa</t>
  </si>
  <si>
    <t>Grand Hyatt Dubai</t>
  </si>
  <si>
    <t>X23172681</t>
  </si>
  <si>
    <t>Four Seasons Resort Dubai at Jumeirah Beach</t>
  </si>
  <si>
    <t>X23881220</t>
  </si>
  <si>
    <t>Four Seasons Kuala Lumpur</t>
  </si>
  <si>
    <t>X23882638</t>
  </si>
  <si>
    <t>Four Seasons DIFC</t>
  </si>
  <si>
    <t>X23172678</t>
  </si>
  <si>
    <t>Four Seasons Hotel Abu Dhabi</t>
  </si>
  <si>
    <t>X23881207</t>
  </si>
  <si>
    <t>FIVE Hotel, Palm Jumeirah</t>
  </si>
  <si>
    <t>X23891548</t>
  </si>
  <si>
    <t>FIVE Hotel JVC</t>
  </si>
  <si>
    <t>X23891549</t>
  </si>
  <si>
    <t>Activited Again in June 2026</t>
  </si>
  <si>
    <t>Swissotel Al Maqam</t>
  </si>
  <si>
    <t>X23887099</t>
  </si>
  <si>
    <t>Swissotel Makkah</t>
  </si>
  <si>
    <t>X23881768</t>
  </si>
  <si>
    <t>Raffles Makkah</t>
  </si>
  <si>
    <t>X23881767</t>
  </si>
  <si>
    <t>Fairmont Makkah Clock Royal Tower</t>
  </si>
  <si>
    <t>X23881766</t>
  </si>
  <si>
    <t>Fairmont Fujairah Beach Resort- Yahala</t>
  </si>
  <si>
    <t>X23930035</t>
  </si>
  <si>
    <t>Fairmont Dubai Yahala</t>
  </si>
  <si>
    <t>X23930032</t>
  </si>
  <si>
    <t>Fairmont Bab Al Bahr - Yahala</t>
  </si>
  <si>
    <t>X23930023</t>
  </si>
  <si>
    <t>Fairmont Ajman - Yahala</t>
  </si>
  <si>
    <t>X23930033</t>
  </si>
  <si>
    <t>Emirates Park Resort - Yahala</t>
  </si>
  <si>
    <t>X23930025</t>
  </si>
  <si>
    <t>Vida Creek Harbour</t>
  </si>
  <si>
    <t>X23941954</t>
  </si>
  <si>
    <t>Vida Downtown</t>
  </si>
  <si>
    <t>X23941953</t>
  </si>
  <si>
    <t>Vida Emirates Hills</t>
  </si>
  <si>
    <t>X23941952</t>
  </si>
  <si>
    <t>Rove Trade Centre</t>
  </si>
  <si>
    <t>X23941967</t>
  </si>
  <si>
    <t>Rove Dubai Marina</t>
  </si>
  <si>
    <t>X23941966</t>
  </si>
  <si>
    <t>Rove Downtown</t>
  </si>
  <si>
    <t>X23941968</t>
  </si>
  <si>
    <t>Address Hotels &amp; Resorts Dubai</t>
  </si>
  <si>
    <t>Dusit Thani Abu Dhabi</t>
  </si>
  <si>
    <t>X23929984</t>
  </si>
  <si>
    <t>DUKES THE PALM, A Royal Hideaway Hotel</t>
  </si>
  <si>
    <t>X23930034</t>
  </si>
  <si>
    <t>DoubleTree by Hilton Resort &amp; Spa Marjan Island - Yahala</t>
  </si>
  <si>
    <t>X23881215</t>
  </si>
  <si>
    <t>Desert Islands Resort &amp; Spa by Anantara - Yahala</t>
  </si>
  <si>
    <t>X23929981</t>
  </si>
  <si>
    <t>Burj Al Arab</t>
  </si>
  <si>
    <t>X23895836</t>
  </si>
  <si>
    <t>Caesars Palace Bluewaters Dubai- Yahala</t>
  </si>
  <si>
    <t>X23930452</t>
  </si>
  <si>
    <t>Bab Al Shams Desert Resort &amp; Spa</t>
  </si>
  <si>
    <t>X23172625</t>
  </si>
  <si>
    <t>Atlantis the plam Yahala</t>
  </si>
  <si>
    <t>X23930450</t>
  </si>
  <si>
    <t>Armani hotel Dubai Yahala</t>
  </si>
  <si>
    <t>X23930448</t>
  </si>
  <si>
    <t>X23958752</t>
  </si>
  <si>
    <t>5%30%</t>
  </si>
  <si>
    <t>Pan  home  Emirates furniture</t>
  </si>
  <si>
    <t>Pan home</t>
  </si>
  <si>
    <t>X23956897</t>
  </si>
  <si>
    <t>40% Off</t>
  </si>
  <si>
    <t>HSN decoration</t>
  </si>
  <si>
    <t>X23928610</t>
  </si>
  <si>
    <t>20% off total bill</t>
  </si>
  <si>
    <t>BinHendi</t>
  </si>
  <si>
    <t>Baituti Furniture</t>
  </si>
  <si>
    <t>X23909628</t>
  </si>
  <si>
    <t>10% off selected products</t>
  </si>
  <si>
    <t>Easa Saleh Al Gurg Group</t>
  </si>
  <si>
    <t>Interiors</t>
  </si>
  <si>
    <t>X23881328</t>
  </si>
  <si>
    <t>40% - 5% Off</t>
  </si>
  <si>
    <t>Danube Home</t>
  </si>
  <si>
    <t>Danube</t>
  </si>
  <si>
    <t>X23881323</t>
  </si>
  <si>
    <t>The one home total experience</t>
  </si>
  <si>
    <t>The one</t>
  </si>
  <si>
    <t>X23880949</t>
  </si>
  <si>
    <t>25% off</t>
  </si>
  <si>
    <t>Landmark Retail Investment Co. LLC</t>
  </si>
  <si>
    <t>Home Centre</t>
  </si>
  <si>
    <t>X22217406</t>
  </si>
  <si>
    <t>Better Life</t>
  </si>
  <si>
    <t>X23881326</t>
  </si>
  <si>
    <t xml:space="preserve"> YAHALA10 ( On Above 200 AED Orders)</t>
  </si>
  <si>
    <t>www.juve.ae</t>
  </si>
  <si>
    <t>Health &amp; Beauty</t>
  </si>
  <si>
    <t xml:space="preserve">Juve </t>
  </si>
  <si>
    <t>Juve Cosmetics</t>
  </si>
  <si>
    <t>X23960770</t>
  </si>
  <si>
    <t>Gigi studio</t>
  </si>
  <si>
    <t>Gigi Studio</t>
  </si>
  <si>
    <t>X23960537</t>
  </si>
  <si>
    <t>Spa</t>
  </si>
  <si>
    <t>Klei Spa</t>
  </si>
  <si>
    <t>X23960347</t>
  </si>
  <si>
    <t>Oak Pilates studio</t>
  </si>
  <si>
    <t>X23960222</t>
  </si>
  <si>
    <t>Spend 200AED and get 15% Discount</t>
  </si>
  <si>
    <t>Beauty , Hair &amp; Nails</t>
  </si>
  <si>
    <t>Tru beauty lounge</t>
  </si>
  <si>
    <t>X23960220</t>
  </si>
  <si>
    <t>15% on all treatments and supplements</t>
  </si>
  <si>
    <t>PMO15</t>
  </si>
  <si>
    <t>https://www.pharmacy.maisonsante.ae/</t>
  </si>
  <si>
    <t>Pharmacy</t>
  </si>
  <si>
    <t>PHARMAPAL</t>
  </si>
  <si>
    <t>Maison Sante pharmacy</t>
  </si>
  <si>
    <t>X23959045</t>
  </si>
  <si>
    <t>Low calories</t>
  </si>
  <si>
    <t>X23898313</t>
  </si>
  <si>
    <t>pacakges , %</t>
  </si>
  <si>
    <t>FUPRIME20 / YAHALA /SFYH55</t>
  </si>
  <si>
    <t>https://kcallife.com/</t>
  </si>
  <si>
    <t>Kcal</t>
  </si>
  <si>
    <t>X23957989</t>
  </si>
  <si>
    <t>Special auto insurance rates &amp; benefits</t>
  </si>
  <si>
    <t>Union Car Insurance</t>
  </si>
  <si>
    <t>X23880209</t>
  </si>
  <si>
    <t>15% on monthly subscription.</t>
  </si>
  <si>
    <t>https://healthykitchen.delivery/</t>
  </si>
  <si>
    <t>Healthy kitchen</t>
  </si>
  <si>
    <t>X23958315</t>
  </si>
  <si>
    <t>Clinic</t>
  </si>
  <si>
    <t>Maison Sante Clinic</t>
  </si>
  <si>
    <t>X23958312</t>
  </si>
  <si>
    <t>25% Off products &amp; Services</t>
  </si>
  <si>
    <t>La bonne sante</t>
  </si>
  <si>
    <t>X23958100</t>
  </si>
  <si>
    <t>30%off _15% wellness</t>
  </si>
  <si>
    <t>Zabeel Ladies Club</t>
  </si>
  <si>
    <t>X23880446</t>
  </si>
  <si>
    <t>40% off all services</t>
  </si>
  <si>
    <t>YBB COLLECTIVE</t>
  </si>
  <si>
    <t>X23908487</t>
  </si>
  <si>
    <t>20% off spa treatments</t>
  </si>
  <si>
    <t>The Spa - Palazzo Versace Dubai</t>
  </si>
  <si>
    <t>X23880442</t>
  </si>
  <si>
    <t>30% off Services and products</t>
  </si>
  <si>
    <t>The Elixir Clinic - Dubai</t>
  </si>
  <si>
    <t>X23880994</t>
  </si>
  <si>
    <t>30% Off 60 min spa treatments</t>
  </si>
  <si>
    <t>Talise ottoman spa</t>
  </si>
  <si>
    <t>X224027</t>
  </si>
  <si>
    <t>Activated</t>
  </si>
  <si>
    <t>30% Off</t>
  </si>
  <si>
    <t>Talise Fitness-</t>
  </si>
  <si>
    <t>X23881383</t>
  </si>
  <si>
    <t>25% Off on selected services</t>
  </si>
  <si>
    <t>Medical</t>
  </si>
  <si>
    <t>Sultan Al Olama Medical Center</t>
  </si>
  <si>
    <t>X23881318</t>
  </si>
  <si>
    <t>auto renewal</t>
  </si>
  <si>
    <t>Storm</t>
  </si>
  <si>
    <t>X23926400</t>
  </si>
  <si>
    <t>Spa zen</t>
  </si>
  <si>
    <t>X037218</t>
  </si>
  <si>
    <t xml:space="preserve">15% Off </t>
  </si>
  <si>
    <t>Snob Salon &amp; Boutique</t>
  </si>
  <si>
    <t>X21052026</t>
  </si>
  <si>
    <t>20% Off all services</t>
  </si>
  <si>
    <t>Sisters Beauty Lounge-Dubai</t>
  </si>
  <si>
    <t>X23909773</t>
  </si>
  <si>
    <t>20% Off physiotherapy &amp; rehabilliation services</t>
  </si>
  <si>
    <t>Osraty</t>
  </si>
  <si>
    <t>X23880427</t>
  </si>
  <si>
    <t>15% off treatments</t>
  </si>
  <si>
    <t>Nstyle Beauty Lounge - Abu Dhab</t>
  </si>
  <si>
    <t>X23915838</t>
  </si>
  <si>
    <t>N.bar</t>
  </si>
  <si>
    <t>X23880433</t>
  </si>
  <si>
    <t>F sent email 13 jan</t>
  </si>
  <si>
    <t>package offer 400AED personal therapy</t>
  </si>
  <si>
    <t>My Conscious Mind Mental Health Center</t>
  </si>
  <si>
    <t>X23926289</t>
  </si>
  <si>
    <t>8% medical prescription_15% off prescription</t>
  </si>
  <si>
    <t>Life Pharmacy</t>
  </si>
  <si>
    <t>X23880273</t>
  </si>
  <si>
    <t>40%_35%_10% Off</t>
  </si>
  <si>
    <t>La Mar Aesthetic Surgery Centre</t>
  </si>
  <si>
    <t>X23880943</t>
  </si>
  <si>
    <t>20% off all services</t>
  </si>
  <si>
    <t>Juice spa salon</t>
  </si>
  <si>
    <t>X23880974</t>
  </si>
  <si>
    <t>Jet set salon</t>
  </si>
  <si>
    <t>X23880432</t>
  </si>
  <si>
    <t xml:space="preserve">30% Off </t>
  </si>
  <si>
    <t>J CLUB talise spa</t>
  </si>
  <si>
    <t>X036783</t>
  </si>
  <si>
    <t>30% off medical_15% off ivf</t>
  </si>
  <si>
    <t>GARGASH HOSPITAL</t>
  </si>
  <si>
    <t>X23908484</t>
  </si>
  <si>
    <t>40% off Ems</t>
  </si>
  <si>
    <t>Fit in Time</t>
  </si>
  <si>
    <t>X23880444</t>
  </si>
  <si>
    <t>30% Off outpatient services</t>
  </si>
  <si>
    <t>Emirates Specialty Hospital</t>
  </si>
  <si>
    <t>X23884453</t>
  </si>
  <si>
    <t>expired as per faisal</t>
  </si>
  <si>
    <t>Saloon</t>
  </si>
  <si>
    <t>Elata beauty salon dubai</t>
  </si>
  <si>
    <t>X037804</t>
  </si>
  <si>
    <t>7000,3000,1500AED discount</t>
  </si>
  <si>
    <t>Dubai Ladies Club</t>
  </si>
  <si>
    <t>X23880428</t>
  </si>
  <si>
    <t>Dollie Sisters Ladies Salon</t>
  </si>
  <si>
    <t>X23891892</t>
  </si>
  <si>
    <t>20%_25% Off</t>
  </si>
  <si>
    <t>Divine Dubai yoga</t>
  </si>
  <si>
    <t>X23912098</t>
  </si>
  <si>
    <t>20% off hair &amp; spa bill</t>
  </si>
  <si>
    <t>Coya Spa</t>
  </si>
  <si>
    <t>X23880980</t>
  </si>
  <si>
    <t>25% off services &amp; products</t>
  </si>
  <si>
    <t>Cosmo Health</t>
  </si>
  <si>
    <t>X23929719</t>
  </si>
  <si>
    <t>25% Off spa</t>
  </si>
  <si>
    <t>Ciel Spa</t>
  </si>
  <si>
    <t>X23908481</t>
  </si>
  <si>
    <t>20% off services</t>
  </si>
  <si>
    <t>Ayur Mandala Ayurveda Center</t>
  </si>
  <si>
    <t>X23922323</t>
  </si>
  <si>
    <t>Anantara the Palm Spa</t>
  </si>
  <si>
    <t>X20989184</t>
  </si>
  <si>
    <t>20% off body rejuvenation</t>
  </si>
  <si>
    <t>American Aesthetic Clinic, Dubai</t>
  </si>
  <si>
    <t>X23902804</t>
  </si>
  <si>
    <t>40%_35%_50%_20%_25%</t>
  </si>
  <si>
    <t>American Academy of Cosmetic Surgery Hospital</t>
  </si>
  <si>
    <t>X035475</t>
  </si>
  <si>
    <t>Aestazone Clinic</t>
  </si>
  <si>
    <t>X23928681</t>
  </si>
  <si>
    <t>Adam Vital Hospital</t>
  </si>
  <si>
    <t>X23909903</t>
  </si>
  <si>
    <t>X23880435</t>
  </si>
  <si>
    <t>Fatima bent Mohamed ben Zayed inititave</t>
  </si>
  <si>
    <t>FBMI</t>
  </si>
  <si>
    <t>X23960272</t>
  </si>
  <si>
    <t>alkhawanji</t>
  </si>
  <si>
    <t>Noiro Cafe</t>
  </si>
  <si>
    <t>X23960345</t>
  </si>
  <si>
    <t>Babbler's Cafe</t>
  </si>
  <si>
    <t>X23960218</t>
  </si>
  <si>
    <t>Kumo</t>
  </si>
  <si>
    <t>X23959706</t>
  </si>
  <si>
    <t>shalwa</t>
  </si>
  <si>
    <t>X23959702</t>
  </si>
  <si>
    <t>X23959696</t>
  </si>
  <si>
    <t>X23959690</t>
  </si>
  <si>
    <t>X23959684</t>
  </si>
  <si>
    <t>Find Salt</t>
  </si>
  <si>
    <t>X23959675</t>
  </si>
  <si>
    <t>20% Off on Total Bill</t>
  </si>
  <si>
    <t>Fine dining</t>
  </si>
  <si>
    <t>Jumeirah Burj Al Arab</t>
  </si>
  <si>
    <t>Skyview Lounge</t>
  </si>
  <si>
    <t>X23958003</t>
  </si>
  <si>
    <t>10% Off on total Bill</t>
  </si>
  <si>
    <t>Jumeirah Marsa Al Arab</t>
  </si>
  <si>
    <t>Commodore Club</t>
  </si>
  <si>
    <t>X23958002</t>
  </si>
  <si>
    <t>25% Off on Total Bill</t>
  </si>
  <si>
    <t>Jumeirah Al Qasr</t>
  </si>
  <si>
    <t>The Hide - Jumeirah Al Qasr</t>
  </si>
  <si>
    <t>X23958011</t>
  </si>
  <si>
    <t>Sah el Nom</t>
  </si>
  <si>
    <t>X23955290</t>
  </si>
  <si>
    <t>CDF Restaurant LLC</t>
  </si>
  <si>
    <t>La Cantine du Faubourg</t>
  </si>
  <si>
    <t>X23957088</t>
  </si>
  <si>
    <t>Gohan Restaurant</t>
  </si>
  <si>
    <t>X23957081</t>
  </si>
  <si>
    <t>Bombay Club</t>
  </si>
  <si>
    <t>X23954702</t>
  </si>
  <si>
    <t>Madame LI</t>
  </si>
  <si>
    <t>X23954703</t>
  </si>
  <si>
    <t>Mirabelle</t>
  </si>
  <si>
    <t>X23954701</t>
  </si>
  <si>
    <t>Umi Kei</t>
  </si>
  <si>
    <t>X23954696</t>
  </si>
  <si>
    <t>Nuska Beach</t>
  </si>
  <si>
    <t>X23951159</t>
  </si>
  <si>
    <t>La promenade</t>
  </si>
  <si>
    <t>X23951157</t>
  </si>
  <si>
    <t>Atlantis by the Palm</t>
  </si>
  <si>
    <t>Ariana's Persian Kitchen</t>
  </si>
  <si>
    <t>X23953651</t>
  </si>
  <si>
    <t>Nobu by the beach</t>
  </si>
  <si>
    <t>X23934239</t>
  </si>
  <si>
    <t>Ling ling</t>
  </si>
  <si>
    <t>X23934238</t>
  </si>
  <si>
    <t>Milos</t>
  </si>
  <si>
    <t>X23953650</t>
  </si>
  <si>
    <t>Gastronomy</t>
  </si>
  <si>
    <t>X23934236</t>
  </si>
  <si>
    <t>Malibu</t>
  </si>
  <si>
    <t>X23934235</t>
  </si>
  <si>
    <t>The Royal Tea Room</t>
  </si>
  <si>
    <t>X23934233</t>
  </si>
  <si>
    <t>La Mar</t>
  </si>
  <si>
    <t>X23934232</t>
  </si>
  <si>
    <t>Dinner by Heston</t>
  </si>
  <si>
    <t>X23934231</t>
  </si>
  <si>
    <t>Kaleidoscope</t>
  </si>
  <si>
    <t>X035546</t>
  </si>
  <si>
    <t>Studio Frantzén</t>
  </si>
  <si>
    <t>X23953652</t>
  </si>
  <si>
    <t>Saffron</t>
  </si>
  <si>
    <t>X035554</t>
  </si>
  <si>
    <t>Wavehouse</t>
  </si>
  <si>
    <t>X23934228</t>
  </si>
  <si>
    <t>White Restaurant</t>
  </si>
  <si>
    <t>X23934227</t>
  </si>
  <si>
    <t>En Fuego</t>
  </si>
  <si>
    <t>X23934226</t>
  </si>
  <si>
    <t>Hakkasan</t>
  </si>
  <si>
    <t>X23934225</t>
  </si>
  <si>
    <t>Seafire Steakhouse</t>
  </si>
  <si>
    <t>X035555</t>
  </si>
  <si>
    <t>Street Pizza</t>
  </si>
  <si>
    <t>X23934224</t>
  </si>
  <si>
    <t>Bread Street Kitchen &amp; Bar</t>
  </si>
  <si>
    <t>X22352096</t>
  </si>
  <si>
    <t>Nobu</t>
  </si>
  <si>
    <t>X23453929</t>
  </si>
  <si>
    <t>Ossiano</t>
  </si>
  <si>
    <t>X23453930</t>
  </si>
  <si>
    <t>Ayamna</t>
  </si>
  <si>
    <t>X22300762</t>
  </si>
  <si>
    <t>removed as per faisal</t>
  </si>
  <si>
    <t>Jumeirah Restaurant Group F&amp;B / Sarood</t>
  </si>
  <si>
    <t>Boaz Turkish Restaurant</t>
  </si>
  <si>
    <t>X23927957</t>
  </si>
  <si>
    <t>Al Mashowa</t>
  </si>
  <si>
    <t>`</t>
  </si>
  <si>
    <t>Retro Feasts</t>
  </si>
  <si>
    <t>X21813913</t>
  </si>
  <si>
    <t>Butcha Turkish steakhouse &amp; Grill</t>
  </si>
  <si>
    <t>X21829162</t>
  </si>
  <si>
    <t>Sikka Cafe</t>
  </si>
  <si>
    <t>X23874091</t>
  </si>
  <si>
    <t>Flow Jet</t>
  </si>
  <si>
    <t>X23900231</t>
  </si>
  <si>
    <t>Hillhouse Brasserie</t>
  </si>
  <si>
    <t>X23873837</t>
  </si>
  <si>
    <t>The Duck Hook</t>
  </si>
  <si>
    <t>X23873836</t>
  </si>
  <si>
    <t>Dec-22-2025</t>
  </si>
  <si>
    <t>Al Nafoorah</t>
  </si>
  <si>
    <t>X23955726</t>
  </si>
  <si>
    <t>The Noodle House</t>
  </si>
  <si>
    <t>X036564</t>
  </si>
  <si>
    <t>Trattoria Toscana</t>
  </si>
  <si>
    <t>X036784</t>
  </si>
  <si>
    <t>Pai Thai</t>
  </si>
  <si>
    <t>X036779</t>
  </si>
  <si>
    <t>Khaymat al Bahar</t>
  </si>
  <si>
    <t>X036776</t>
  </si>
  <si>
    <t>Arboretum</t>
  </si>
  <si>
    <t>X036770</t>
  </si>
  <si>
    <t>Al Fayrooz Lounge</t>
  </si>
  <si>
    <t>X036766</t>
  </si>
  <si>
    <t>French Rivera</t>
  </si>
  <si>
    <t>X23916874</t>
  </si>
  <si>
    <t>Pool Bar - Mina Al Salam Hotel</t>
  </si>
  <si>
    <t>X23895814</t>
  </si>
  <si>
    <t>Al Samar Lounge</t>
  </si>
  <si>
    <t>X036769</t>
  </si>
  <si>
    <t>Margaux</t>
  </si>
  <si>
    <t>X23931868</t>
  </si>
  <si>
    <t>Bahri Bar</t>
  </si>
  <si>
    <t>X036772</t>
  </si>
  <si>
    <t>Tortuga</t>
  </si>
  <si>
    <t>X21708300</t>
  </si>
  <si>
    <t>Hanaaya</t>
  </si>
  <si>
    <t>X036768</t>
  </si>
  <si>
    <t>Zheng He's</t>
  </si>
  <si>
    <t>X036786</t>
  </si>
  <si>
    <t>15% Off on total bill</t>
  </si>
  <si>
    <t>KADAYIFZADE</t>
  </si>
  <si>
    <t>X23933393</t>
  </si>
  <si>
    <t>Plazzo Versace International</t>
  </si>
  <si>
    <t>Enigma</t>
  </si>
  <si>
    <t>X21972351</t>
  </si>
  <si>
    <t>Vanitas</t>
  </si>
  <si>
    <t>X21934702</t>
  </si>
  <si>
    <t>20% Off on Total Bill on Homat el watan card holder</t>
  </si>
  <si>
    <t>Premium Casual</t>
  </si>
  <si>
    <t>Mosaico Lounge</t>
  </si>
  <si>
    <t>X23406654</t>
  </si>
  <si>
    <t>Giardino</t>
  </si>
  <si>
    <t>X21934745</t>
  </si>
  <si>
    <t>Bebek Restaurant</t>
  </si>
  <si>
    <t>X23939882</t>
  </si>
  <si>
    <t>Osteria Mario</t>
  </si>
  <si>
    <t>X23947620</t>
  </si>
  <si>
    <t>Shvili</t>
  </si>
  <si>
    <t>Shivli</t>
  </si>
  <si>
    <t>X23947623</t>
  </si>
  <si>
    <t>30% Off Total Bill</t>
  </si>
  <si>
    <t>Mizu</t>
  </si>
  <si>
    <t>X23947382</t>
  </si>
  <si>
    <t>The Lana – Dorchester Collection</t>
  </si>
  <si>
    <t>Rivera Restaurant by Jean Imbert (Lunch and Dinner)</t>
  </si>
  <si>
    <t>X23947197</t>
  </si>
  <si>
    <t>Bonbon Café by Angelo Musa</t>
  </si>
  <si>
    <t>X23947198</t>
  </si>
  <si>
    <t>The Gallery afternoon tea experience</t>
  </si>
  <si>
    <t>X23947199</t>
  </si>
  <si>
    <t>Jara Bar</t>
  </si>
  <si>
    <t>X23947203</t>
  </si>
  <si>
    <t>One&amp;Only One Za'abeel</t>
  </si>
  <si>
    <t>Aelia</t>
  </si>
  <si>
    <t>X23945843</t>
  </si>
  <si>
    <t>Arrazuna</t>
  </si>
  <si>
    <t>X23945852</t>
  </si>
  <si>
    <t>Duangdy</t>
  </si>
  <si>
    <t>X23945855</t>
  </si>
  <si>
    <t>Qabu</t>
  </si>
  <si>
    <t>X23945842</t>
  </si>
  <si>
    <t>Sagetsu</t>
  </si>
  <si>
    <t>X23945884</t>
  </si>
  <si>
    <t>La Dame de Pic</t>
  </si>
  <si>
    <t>X23945885</t>
  </si>
  <si>
    <t>premium Casual</t>
  </si>
  <si>
    <t>Andaliman</t>
  </si>
  <si>
    <t>X23945886</t>
  </si>
  <si>
    <t>Tapaske</t>
  </si>
  <si>
    <t>X23945887</t>
  </si>
  <si>
    <t>StreetXO</t>
  </si>
  <si>
    <t>X23945888</t>
  </si>
  <si>
    <t>Pubs, Bar &amp; Clubs</t>
  </si>
  <si>
    <t>Garden Pool Bar</t>
  </si>
  <si>
    <t>X23945889</t>
  </si>
  <si>
    <t>Josette</t>
  </si>
  <si>
    <t>X23932693</t>
  </si>
  <si>
    <t>MayaBay</t>
  </si>
  <si>
    <t>X23932689</t>
  </si>
  <si>
    <t>Dubai Creek Golf &amp; Yacht Club</t>
  </si>
  <si>
    <t>Cielo</t>
  </si>
  <si>
    <t>X21331730</t>
  </si>
  <si>
    <t>Casa De Tapas</t>
  </si>
  <si>
    <t>X21094190</t>
  </si>
  <si>
    <t>LakeView</t>
  </si>
  <si>
    <t>X035922</t>
  </si>
  <si>
    <t>Boardwalk</t>
  </si>
  <si>
    <t>X035919</t>
  </si>
  <si>
    <t>Al Meshwar Group</t>
  </si>
  <si>
    <t>Al Meshwar Restaurant</t>
  </si>
  <si>
    <t>X23908468</t>
  </si>
  <si>
    <t>Alici</t>
  </si>
  <si>
    <t>X23888595</t>
  </si>
  <si>
    <t>QD's</t>
  </si>
  <si>
    <t>X035924</t>
  </si>
  <si>
    <t>AWJ Investements LLC</t>
  </si>
  <si>
    <t>Awani</t>
  </si>
  <si>
    <t>X21358657</t>
  </si>
  <si>
    <t>20% Off Sund-Fr</t>
  </si>
  <si>
    <t>Coya Restaurant</t>
  </si>
  <si>
    <t>Coya</t>
  </si>
  <si>
    <t>X23880391</t>
  </si>
  <si>
    <t>20% off for dine in and 10% off for take away</t>
  </si>
  <si>
    <t>Khan Murjan</t>
  </si>
  <si>
    <t>X23880287</t>
  </si>
  <si>
    <t>20% off event &amp; wedding catering</t>
  </si>
  <si>
    <t>Lifestyle</t>
  </si>
  <si>
    <t>Jumeirah Hospitality - Events &amp; Weddings</t>
  </si>
  <si>
    <t>Jumeirah Hospitality</t>
  </si>
  <si>
    <t>X23880301</t>
  </si>
  <si>
    <t>Alta Badia Bar</t>
  </si>
  <si>
    <t>X21336758</t>
  </si>
  <si>
    <t>Daefi Lobby Lounge</t>
  </si>
  <si>
    <t>X23892718</t>
  </si>
  <si>
    <t>The Rib Room Bar</t>
  </si>
  <si>
    <t>X036558</t>
  </si>
  <si>
    <t>Mundo</t>
  </si>
  <si>
    <t>X21972107</t>
  </si>
  <si>
    <t>Flow Dic</t>
  </si>
  <si>
    <t>X23891704</t>
  </si>
  <si>
    <t>The agency</t>
  </si>
  <si>
    <t>X23932475</t>
  </si>
  <si>
    <t>Jumeirah Creekside Hotel</t>
  </si>
  <si>
    <t>Plumeria</t>
  </si>
  <si>
    <t>X23892716</t>
  </si>
  <si>
    <t>Crimson Gallery</t>
  </si>
  <si>
    <t>X036551</t>
  </si>
  <si>
    <t>Nomad</t>
  </si>
  <si>
    <t>X036553</t>
  </si>
  <si>
    <t>Cuba</t>
  </si>
  <si>
    <t>X036552</t>
  </si>
  <si>
    <t>Dec-4-2025</t>
  </si>
  <si>
    <t>30% Off on Fitness &amp;Lifestyle membership and 50% off on annual membership</t>
  </si>
  <si>
    <t>Jumeirah Beach Hotel  F&amp;B Outlets</t>
  </si>
  <si>
    <t>The J-Club</t>
  </si>
  <si>
    <t>X23897169</t>
  </si>
  <si>
    <t>15% Off on Total Bill</t>
  </si>
  <si>
    <t>La Parrilla</t>
  </si>
  <si>
    <t>X036540</t>
  </si>
  <si>
    <t>25% Off f&amp;b</t>
  </si>
  <si>
    <t>Beachcombers</t>
  </si>
  <si>
    <t>X036538</t>
  </si>
  <si>
    <t>Villa Beach</t>
  </si>
  <si>
    <t>X036546</t>
  </si>
  <si>
    <t>Pearl Lounge-Dubai</t>
  </si>
  <si>
    <t>X21364637</t>
  </si>
  <si>
    <t>Kitchen Connection</t>
  </si>
  <si>
    <t>X036542</t>
  </si>
  <si>
    <t>15% Off on F &amp;B</t>
  </si>
  <si>
    <t>Floor 24</t>
  </si>
  <si>
    <t>X23916956</t>
  </si>
  <si>
    <t>Bastion</t>
  </si>
  <si>
    <t>X23918532</t>
  </si>
  <si>
    <t>Fika</t>
  </si>
  <si>
    <t>X23916877</t>
  </si>
  <si>
    <t>Dhow &amp; Anchor</t>
  </si>
  <si>
    <t>X104641</t>
  </si>
  <si>
    <t>Kayto</t>
  </si>
  <si>
    <t>X23895800</t>
  </si>
  <si>
    <t>Al Mandhar lounge</t>
  </si>
  <si>
    <t>X23895801</t>
  </si>
  <si>
    <t>Rockfish</t>
  </si>
  <si>
    <t>X23895799</t>
  </si>
  <si>
    <t>Jumeirah AL Naseem</t>
  </si>
  <si>
    <t>The Palmery</t>
  </si>
  <si>
    <t>X23875211</t>
  </si>
  <si>
    <t>Scape Restaurant &amp; Lounge</t>
  </si>
  <si>
    <t>X23892714</t>
  </si>
  <si>
    <t>Al Iwan at Burj Al Arab</t>
  </si>
  <si>
    <t>X22334801</t>
  </si>
  <si>
    <t>Sahn Eddar at Burj Al Arab</t>
  </si>
  <si>
    <t>X22283744</t>
  </si>
  <si>
    <t>Bab Al Yam at Burj Al Arab</t>
  </si>
  <si>
    <t>X22021342</t>
  </si>
  <si>
    <t>Sal Restaurant &amp; Lounge</t>
  </si>
  <si>
    <t>X23908705</t>
  </si>
  <si>
    <t>BinHendi Hospitality LLC  F&amp;B Outlets</t>
  </si>
  <si>
    <t>Bagaterie Boulevard</t>
  </si>
  <si>
    <t>X22381113</t>
  </si>
  <si>
    <t>Café Havana</t>
  </si>
  <si>
    <t>X21112798</t>
  </si>
  <si>
    <t>China Times</t>
  </si>
  <si>
    <t>X21112799</t>
  </si>
  <si>
    <t>Sammach</t>
  </si>
  <si>
    <t>X21112806</t>
  </si>
  <si>
    <t>Japengo - Dubai</t>
  </si>
  <si>
    <t>X21112801</t>
  </si>
  <si>
    <t>Anantara Hotel Palm Jumeriah F&amp;B outlets</t>
  </si>
  <si>
    <t>X23880217</t>
  </si>
  <si>
    <t>Il Borro Tuscan Bistro  F&amp;B Outlets</t>
  </si>
  <si>
    <t>Il Borro</t>
  </si>
  <si>
    <t>X22382425</t>
  </si>
  <si>
    <t>10% Off total bill</t>
  </si>
  <si>
    <t>informal dining &amp; Takeaway</t>
  </si>
  <si>
    <t>Baskin Robins</t>
  </si>
  <si>
    <t>X036140</t>
  </si>
  <si>
    <t>20% Off  Totall bill</t>
  </si>
  <si>
    <t>Joe's Café</t>
  </si>
  <si>
    <t>X21112803</t>
  </si>
  <si>
    <t>10% off total bill</t>
  </si>
  <si>
    <t>Americana</t>
  </si>
  <si>
    <t>McDonald's</t>
  </si>
  <si>
    <t>X23927449</t>
  </si>
  <si>
    <t>20% off Total bill</t>
  </si>
  <si>
    <t>Mam'esh</t>
  </si>
  <si>
    <t>MAMA'ESH</t>
  </si>
  <si>
    <t>X21962466</t>
  </si>
  <si>
    <t>15% off total bill</t>
  </si>
  <si>
    <t>Azadea</t>
  </si>
  <si>
    <t>Paul-Dubai</t>
  </si>
  <si>
    <t>X21206381</t>
  </si>
  <si>
    <t>Pulp Juice bar</t>
  </si>
  <si>
    <t>X035568</t>
  </si>
  <si>
    <t>Galia Fashion</t>
  </si>
  <si>
    <t>Galia Fashion Designer</t>
  </si>
  <si>
    <t>X23960772</t>
  </si>
  <si>
    <t>Mariam Al Remeithi -AD</t>
  </si>
  <si>
    <t>MARIAM AL REMEITHI</t>
  </si>
  <si>
    <t>X23960351</t>
  </si>
  <si>
    <t>Use promocode PMO25</t>
  </si>
  <si>
    <t>https://bymariam.ae/</t>
  </si>
  <si>
    <t>Mariam Al Remeithi - Dubai</t>
  </si>
  <si>
    <t>X23960733</t>
  </si>
  <si>
    <t>May-6-2026</t>
  </si>
  <si>
    <t>B 180 Caps</t>
  </si>
  <si>
    <t>B180 Caps</t>
  </si>
  <si>
    <t>X23960388</t>
  </si>
  <si>
    <t>Use promocode YAHALA</t>
  </si>
  <si>
    <t>www.b180caps.com</t>
  </si>
  <si>
    <t>X23960390</t>
  </si>
  <si>
    <t>Exclusive discount</t>
  </si>
  <si>
    <t>Use promocode AEMCA21</t>
  </si>
  <si>
    <t>Emirates | Fly Better</t>
  </si>
  <si>
    <t>Emirates</t>
  </si>
  <si>
    <t>X23879761</t>
  </si>
  <si>
    <t>17% Off</t>
  </si>
  <si>
    <t>jewelry</t>
  </si>
  <si>
    <t>Ahmed Seddiqi &amp; Sons</t>
  </si>
  <si>
    <t>Charriol - Ahmed Seddiqi &amp; Sons</t>
  </si>
  <si>
    <t>X23957715</t>
  </si>
  <si>
    <t>Le Gramme - Ahmed Seddiqi &amp; Sons</t>
  </si>
  <si>
    <t>X23953439</t>
  </si>
  <si>
    <t>Use promocode AUAEONLY</t>
  </si>
  <si>
    <t>https://www.honor.com/ae-en/shop/offer/</t>
  </si>
  <si>
    <t>Electronics</t>
  </si>
  <si>
    <t>Honor</t>
  </si>
  <si>
    <t>Honor online</t>
  </si>
  <si>
    <t>X23949477</t>
  </si>
  <si>
    <t>Use Promocde sense10</t>
  </si>
  <si>
    <t>www.sensesevendelicacies.com</t>
  </si>
  <si>
    <t>Sense seven</t>
  </si>
  <si>
    <t>Sense Seven</t>
  </si>
  <si>
    <t>X23955287</t>
  </si>
  <si>
    <t>5%-35%</t>
  </si>
  <si>
    <t>X23953431</t>
  </si>
  <si>
    <t>Noon one</t>
  </si>
  <si>
    <t>X23913214</t>
  </si>
  <si>
    <t>Noon supermall</t>
  </si>
  <si>
    <t>X23953407</t>
  </si>
  <si>
    <t>Bold By Movado</t>
  </si>
  <si>
    <t>X23943137</t>
  </si>
  <si>
    <t>Armani Jewelry</t>
  </si>
  <si>
    <t>X23943135</t>
  </si>
  <si>
    <t>Armani Exchange</t>
  </si>
  <si>
    <t>X23943136</t>
  </si>
  <si>
    <t>Human Relations Institute &amp; Clinics</t>
  </si>
  <si>
    <t>X23895495</t>
  </si>
  <si>
    <t xml:space="preserve">8% Off </t>
  </si>
  <si>
    <t>Other</t>
  </si>
  <si>
    <t>S.T. Dupont - Ahmed Seddiqi &amp; Sons</t>
  </si>
  <si>
    <t>X23942102</t>
  </si>
  <si>
    <t>Swiza - Ahmed Seddiqi &amp; Sons</t>
  </si>
  <si>
    <t>X23942103</t>
  </si>
  <si>
    <t xml:space="preserve">12% Off </t>
  </si>
  <si>
    <t>Ulysse Nardin</t>
  </si>
  <si>
    <t>X23927471</t>
  </si>
  <si>
    <t>Oris - Ahmed Seddiqi &amp; Sons</t>
  </si>
  <si>
    <t>X23942105</t>
  </si>
  <si>
    <t>RESERVOIR - Ahmed Seddiqi &amp; Sons</t>
  </si>
  <si>
    <t>X23942871</t>
  </si>
  <si>
    <t>Doxa</t>
  </si>
  <si>
    <t>X23942872</t>
  </si>
  <si>
    <t>U-Boat - Ahmed Seddiqi &amp; Sons</t>
  </si>
  <si>
    <t>X23942873</t>
  </si>
  <si>
    <t>Chronoswiss - Ahmed Seddiqi &amp; Sons</t>
  </si>
  <si>
    <t>X23942874</t>
  </si>
  <si>
    <t>Alpina - Ahmed Seddiqi &amp; Sons</t>
  </si>
  <si>
    <t>X23942875</t>
  </si>
  <si>
    <t>Persee - Ahmed Seddiqi &amp; Sons</t>
  </si>
  <si>
    <t>X23946447</t>
  </si>
  <si>
    <t>Bremont - Ahmed Seddiqi &amp; Sons</t>
  </si>
  <si>
    <t>X23946448</t>
  </si>
  <si>
    <t xml:space="preserve">20% Off </t>
  </si>
  <si>
    <t>Salvini - Ahmed Seddiqi &amp; Sons</t>
  </si>
  <si>
    <t>X23942089</t>
  </si>
  <si>
    <t>Rapport</t>
  </si>
  <si>
    <t>X23942060</t>
  </si>
  <si>
    <t>Pasquale Bruni - Ahmed Seddiqi &amp; Sons</t>
  </si>
  <si>
    <t>X23942058</t>
  </si>
  <si>
    <t>Norqain - Ahmed Seddiqi &amp; Sons</t>
  </si>
  <si>
    <t>X23942055</t>
  </si>
  <si>
    <t>MeisterSinger - Ahmed Seddiqi &amp; Sons</t>
  </si>
  <si>
    <t>X23942054</t>
  </si>
  <si>
    <t>Louis Erard - Ahmed Seddiqi &amp; Sons</t>
  </si>
  <si>
    <t>X23942053</t>
  </si>
  <si>
    <t>Frederique Constant - Ahmed Seddiqi &amp; Sons</t>
  </si>
  <si>
    <t>X23942052</t>
  </si>
  <si>
    <t>Claude Meylan - Ahmed Seddiqi &amp; Sons</t>
  </si>
  <si>
    <t>X23942051</t>
  </si>
  <si>
    <t>12% Off</t>
  </si>
  <si>
    <t>BUBEN &amp; ZORWEG</t>
  </si>
  <si>
    <t>X23941389</t>
  </si>
  <si>
    <t>7% Off</t>
  </si>
  <si>
    <t>Breitling - Ahmed Seddiqi &amp; Sons</t>
  </si>
  <si>
    <t>X23933682</t>
  </si>
  <si>
    <t>Bernard Favre - Ahmed Seddiqi &amp; Sons</t>
  </si>
  <si>
    <t>X23942050</t>
  </si>
  <si>
    <t>Benedicte de Boysson - Ahmed Seddiqi &amp; Sons</t>
  </si>
  <si>
    <t>X23942049</t>
  </si>
  <si>
    <t>Bell &amp; Ross - Ahmed Seddiqi &amp; Sons</t>
  </si>
  <si>
    <t>X23942048</t>
  </si>
  <si>
    <t xml:space="preserve">17% Off </t>
  </si>
  <si>
    <t>Furla - Ahmed Seddiqi &amp; Sons</t>
  </si>
  <si>
    <t>X23946449</t>
  </si>
  <si>
    <t>Adidas - Ahmed Seddiqi &amp; Sons</t>
  </si>
  <si>
    <t>X23946450</t>
  </si>
  <si>
    <t>Skagen - Ahmed Seddiqi &amp; Sons</t>
  </si>
  <si>
    <t>X23942885</t>
  </si>
  <si>
    <t>Movado Edge - Ahmed Seddiqi &amp; Sons</t>
  </si>
  <si>
    <t>X23941493</t>
  </si>
  <si>
    <t>Emporio Armani  Swiss- Ahmed Seddiqi &amp; Sons</t>
  </si>
  <si>
    <t>X23941528</t>
  </si>
  <si>
    <t>Dkny</t>
  </si>
  <si>
    <t>X23942042</t>
  </si>
  <si>
    <t>Diesel</t>
  </si>
  <si>
    <t>X23942040</t>
  </si>
  <si>
    <t>Expired as per Faisal</t>
  </si>
  <si>
    <t>use code YAHALAPMO</t>
  </si>
  <si>
    <t>Now Now</t>
  </si>
  <si>
    <t>X23901881</t>
  </si>
  <si>
    <t>Maximum discount is 50 AED</t>
  </si>
  <si>
    <t>Use code YAHALAPMO</t>
  </si>
  <si>
    <t>Noon</t>
  </si>
  <si>
    <t>West End</t>
  </si>
  <si>
    <t>X23880554</t>
  </si>
  <si>
    <t>Visconti</t>
  </si>
  <si>
    <t>X23880555</t>
  </si>
  <si>
    <t>Victorinox- Ahmed Seddiqi &amp; Sons</t>
  </si>
  <si>
    <t>X23880553</t>
  </si>
  <si>
    <t>Tudor - Ahmed Seddiqi &amp; Sons</t>
  </si>
  <si>
    <t>X23880452</t>
  </si>
  <si>
    <t>Tag Heure - Ahmed Seddiqi &amp; Sons</t>
  </si>
  <si>
    <t>X23880455</t>
  </si>
  <si>
    <t>Romain Jerome - Ahmed Seddiqi &amp; Sons</t>
  </si>
  <si>
    <t>X23880454</t>
  </si>
  <si>
    <t>Ressence - Ahmed Seddiqi &amp; Sons</t>
  </si>
  <si>
    <t>X23880520</t>
  </si>
  <si>
    <t>Roger Dubuis - Ahmed Seddiqi &amp; Sons</t>
  </si>
  <si>
    <t>X23880461</t>
  </si>
  <si>
    <t>5% Off</t>
  </si>
  <si>
    <t>Richard Mille - Ahmed Seddiqi &amp; Sons</t>
  </si>
  <si>
    <t>X23880453</t>
  </si>
  <si>
    <t>Piaget - Ahmed Seddiqi &amp; Sons</t>
  </si>
  <si>
    <t>X23880519</t>
  </si>
  <si>
    <t>Panerai - Ahmed Seddiqi &amp; Sons</t>
  </si>
  <si>
    <t>X23880518</t>
  </si>
  <si>
    <t>Movado- Ahmed Seddiqi &amp; Sons</t>
  </si>
  <si>
    <t>X23880459</t>
  </si>
  <si>
    <t>Mortiz Grossman - Ahmed Seddiqi &amp; Sons</t>
  </si>
  <si>
    <t>X23880551</t>
  </si>
  <si>
    <t>Michael Kors - Ahmed Seddiqi &amp; Sons</t>
  </si>
  <si>
    <t>X23880513</t>
  </si>
  <si>
    <t>Messika- Ahmed Seddiqi &amp; Sons</t>
  </si>
  <si>
    <t>X23880450</t>
  </si>
  <si>
    <t>Kate Spade- Ahmed Seddiqi &amp; Sons</t>
  </si>
  <si>
    <t>X23880550</t>
  </si>
  <si>
    <t>IWC Schaffhausen</t>
  </si>
  <si>
    <t>X23880514</t>
  </si>
  <si>
    <t>8% off</t>
  </si>
  <si>
    <t>Hublot</t>
  </si>
  <si>
    <t>X23880549</t>
  </si>
  <si>
    <t>H. Moser &amp; Cie - Ahmed Seddiqi &amp; Sons</t>
  </si>
  <si>
    <t>X23880517</t>
  </si>
  <si>
    <t>Guess - Ahmed Seddiqi &amp; Sons</t>
  </si>
  <si>
    <t>X23880516</t>
  </si>
  <si>
    <t>Graham - Ahmed Seddiqi &amp; Sons</t>
  </si>
  <si>
    <t>X23880515</t>
  </si>
  <si>
    <t>Fossil - Ahmed Seddiqi &amp; Sons</t>
  </si>
  <si>
    <t>X23880511</t>
  </si>
  <si>
    <t>GC - Ahmed Seddiqi &amp; Sons</t>
  </si>
  <si>
    <t>X23880512</t>
  </si>
  <si>
    <t>Ferre Milano</t>
  </si>
  <si>
    <t>X23880509</t>
  </si>
  <si>
    <t>F.P. Journe - Ahmed Seddiqi &amp; Sons</t>
  </si>
  <si>
    <t>X23880508</t>
  </si>
  <si>
    <t>Emporio Armani - Ahmed Seddiqi &amp; Sons</t>
  </si>
  <si>
    <t>X23880457</t>
  </si>
  <si>
    <t>Dior - Ahmed Seddiqi &amp; Sons</t>
  </si>
  <si>
    <t>X23880552</t>
  </si>
  <si>
    <t>De Grisogono</t>
  </si>
  <si>
    <t>X23880449</t>
  </si>
  <si>
    <t>Daniel Wellington- Ahmed Seddiqi &amp; Sons</t>
  </si>
  <si>
    <t>X23880470</t>
  </si>
  <si>
    <t>Concord -Ahmed Seddiqi &amp; Sons</t>
  </si>
  <si>
    <t>X23880468</t>
  </si>
  <si>
    <t>Corum</t>
  </si>
  <si>
    <t>X23880469</t>
  </si>
  <si>
    <t>Chopard</t>
  </si>
  <si>
    <t>X23880448</t>
  </si>
  <si>
    <t>Chanel</t>
  </si>
  <si>
    <t>X23880466</t>
  </si>
  <si>
    <t>17% off</t>
  </si>
  <si>
    <t>Bovet</t>
  </si>
  <si>
    <t>X23880463</t>
  </si>
  <si>
    <t>Bomberg</t>
  </si>
  <si>
    <t>X23880460</t>
  </si>
  <si>
    <t>A. Lange &amp; Sohne</t>
  </si>
  <si>
    <t>X23880456</t>
  </si>
  <si>
    <t>Baume &amp; Mercier</t>
  </si>
  <si>
    <t>X23880458</t>
  </si>
  <si>
    <t>20% Off on total products &amp; services</t>
  </si>
  <si>
    <t>Flowers &amp; Gifts</t>
  </si>
  <si>
    <t>Bliss Flowers Dubai</t>
  </si>
  <si>
    <t>X23885171</t>
  </si>
  <si>
    <t>to confirm from faisal</t>
  </si>
  <si>
    <t>20% min 250 AED</t>
  </si>
  <si>
    <t>X22074437</t>
  </si>
  <si>
    <t>SHOEMART</t>
  </si>
  <si>
    <t>X22074348</t>
  </si>
  <si>
    <t>15% min 200</t>
  </si>
  <si>
    <t>Max</t>
  </si>
  <si>
    <t>X23892464</t>
  </si>
  <si>
    <t>20% on total bill</t>
  </si>
  <si>
    <t>Centrepoint</t>
  </si>
  <si>
    <t>X23910199</t>
  </si>
  <si>
    <t>20% min 200AED</t>
  </si>
  <si>
    <t>Baby &amp; Child</t>
  </si>
  <si>
    <t>Babyshop</t>
  </si>
  <si>
    <t>X22074288</t>
  </si>
  <si>
    <t>50% on total bill</t>
  </si>
  <si>
    <t>Dry Cleaning &amp; Laundry</t>
  </si>
  <si>
    <t>Laundry@the Tower</t>
  </si>
  <si>
    <t>X23880207</t>
  </si>
  <si>
    <t>5% Off on min spend 25k</t>
  </si>
  <si>
    <t>Marli Jewelry</t>
  </si>
  <si>
    <t>X23880970</t>
  </si>
  <si>
    <t>Montblanc</t>
  </si>
  <si>
    <t>X23891349</t>
  </si>
  <si>
    <t>20% Off Total Bill</t>
  </si>
  <si>
    <t>Champion Cleaners</t>
  </si>
  <si>
    <t>X23240792</t>
  </si>
  <si>
    <t>Deactive from Faisal</t>
  </si>
  <si>
    <t xml:space="preserve">Jumbo Electronics </t>
  </si>
  <si>
    <t>Jumbo electronics</t>
  </si>
  <si>
    <t>X23880561</t>
  </si>
  <si>
    <t>Sephora</t>
  </si>
  <si>
    <t>X23880472</t>
  </si>
  <si>
    <t>Bostani</t>
  </si>
  <si>
    <t>Bostani Chocolat</t>
  </si>
  <si>
    <t>X23880956</t>
  </si>
  <si>
    <t>20% Off use PromoCode PM20</t>
  </si>
  <si>
    <t>PromoCode PM20</t>
  </si>
  <si>
    <t>https://www.algurgstationery.com/</t>
  </si>
  <si>
    <t>Home&amp;Garden</t>
  </si>
  <si>
    <t>Al Gurg Stationarey</t>
  </si>
  <si>
    <t>X23895300</t>
  </si>
  <si>
    <t>Glamour Rose</t>
  </si>
  <si>
    <t>X23880214</t>
  </si>
  <si>
    <t>Garmin.AE</t>
  </si>
  <si>
    <t>X23879770</t>
  </si>
  <si>
    <t>Anfas al Khaleej perfumes</t>
  </si>
  <si>
    <t>Anfas al khaleej Perfumes</t>
  </si>
  <si>
    <t>X23888635</t>
  </si>
  <si>
    <t>Al Mandoos</t>
  </si>
  <si>
    <t>X23880976</t>
  </si>
  <si>
    <t>Bait AlKandora</t>
  </si>
  <si>
    <t>X23893602</t>
  </si>
  <si>
    <t>Al Thawab Al Watani</t>
  </si>
  <si>
    <t>X23880965</t>
  </si>
  <si>
    <t>promo code YAHALA17</t>
  </si>
  <si>
    <t>Office</t>
  </si>
  <si>
    <t>Aramex Emirates LLC</t>
  </si>
  <si>
    <t>Aramex</t>
  </si>
  <si>
    <t>X23924514</t>
  </si>
  <si>
    <t>Desco Copy &amp; Print center</t>
  </si>
  <si>
    <t>Desco Copy &amp; Print Center</t>
  </si>
  <si>
    <t>X23940387</t>
  </si>
  <si>
    <t>X23938233</t>
  </si>
  <si>
    <t>YSL (Beauty)</t>
  </si>
  <si>
    <t>X23938129</t>
  </si>
  <si>
    <t>Giorgio Armani (beauty)</t>
  </si>
  <si>
    <t>X23938131</t>
  </si>
  <si>
    <t>L'Occitane</t>
  </si>
  <si>
    <t>X23950058</t>
  </si>
  <si>
    <t>L'Occitane Café</t>
  </si>
  <si>
    <t>X23950059</t>
  </si>
  <si>
    <t>The Deal</t>
  </si>
  <si>
    <t>X23938232</t>
  </si>
  <si>
    <t>BOBBI BROWN</t>
  </si>
  <si>
    <t>X23938231</t>
  </si>
  <si>
    <t>X23938230</t>
  </si>
  <si>
    <t>X23938229</t>
  </si>
  <si>
    <t>X23938228</t>
  </si>
  <si>
    <t>X23938227</t>
  </si>
  <si>
    <t>X23938225</t>
  </si>
  <si>
    <t>X23938224</t>
  </si>
  <si>
    <t>Thameen</t>
  </si>
  <si>
    <t>X23938222</t>
  </si>
  <si>
    <t>removed</t>
  </si>
  <si>
    <t>Maison 21G</t>
  </si>
  <si>
    <t>X23938221</t>
  </si>
  <si>
    <t>EX NIHILO</t>
  </si>
  <si>
    <t>X23938220</t>
  </si>
  <si>
    <t>X23938218</t>
  </si>
  <si>
    <t>TRYANO</t>
  </si>
  <si>
    <t>X23938217</t>
  </si>
  <si>
    <t>TANAGRA</t>
  </si>
  <si>
    <t>X23938216</t>
  </si>
  <si>
    <t>X23938215</t>
  </si>
  <si>
    <t>X23938214</t>
  </si>
  <si>
    <t>FILA</t>
  </si>
  <si>
    <t>X23938213</t>
  </si>
  <si>
    <t>X23938211</t>
  </si>
  <si>
    <t>Courcelles</t>
  </si>
  <si>
    <t>X23938212</t>
  </si>
  <si>
    <t>Dsquared2</t>
  </si>
  <si>
    <t>X23938209</t>
  </si>
  <si>
    <t>X23938208</t>
  </si>
  <si>
    <t>Mouawad</t>
  </si>
  <si>
    <t>Mouawad Jewelry</t>
  </si>
  <si>
    <t>X23944016</t>
  </si>
  <si>
    <t>15%-10%-25%-50%-30%</t>
  </si>
  <si>
    <t>Jawhara</t>
  </si>
  <si>
    <t>X23880978</t>
  </si>
  <si>
    <t>15%- 20% use promocode</t>
  </si>
  <si>
    <t>PMOMOTF20</t>
  </si>
  <si>
    <t xml:space="preserve">Museum of The Future </t>
  </si>
  <si>
    <t>Museum of the Future LLC</t>
  </si>
  <si>
    <t>Museum of the future</t>
  </si>
  <si>
    <t>X23926950</t>
  </si>
  <si>
    <t>X23938207</t>
  </si>
  <si>
    <t>X23938205</t>
  </si>
  <si>
    <t>Stella McCartney</t>
  </si>
  <si>
    <t>X23938204</t>
  </si>
  <si>
    <t>Versace</t>
  </si>
  <si>
    <t>X23938203</t>
  </si>
  <si>
    <t>Get up to AED75</t>
  </si>
  <si>
    <t>use code PMO23</t>
  </si>
  <si>
    <t>https://www.namshi.com/uae-en/</t>
  </si>
  <si>
    <t>Namshi</t>
  </si>
  <si>
    <t>X23901761</t>
  </si>
  <si>
    <t>Expired</t>
  </si>
  <si>
    <t>30% off on total bill</t>
  </si>
  <si>
    <t>Samsung link</t>
  </si>
  <si>
    <t>Samsung Gulf Electronics</t>
  </si>
  <si>
    <t>Samsung</t>
  </si>
  <si>
    <t>X23926502</t>
  </si>
  <si>
    <t>Haditi Boutique</t>
  </si>
  <si>
    <t>X23939769</t>
  </si>
  <si>
    <t>Decathlon</t>
  </si>
  <si>
    <t>X23880546</t>
  </si>
  <si>
    <t>Old Navy</t>
  </si>
  <si>
    <t>X23880548</t>
  </si>
  <si>
    <t>Expiry Alert</t>
  </si>
  <si>
    <t>Days Until Expiry</t>
  </si>
  <si>
    <t>Remarks</t>
  </si>
  <si>
    <t>Validity in the app</t>
  </si>
  <si>
    <t>Expiry Date</t>
  </si>
  <si>
    <t>Creation Date</t>
  </si>
  <si>
    <t>Reflect Status</t>
  </si>
  <si>
    <t>Type of offer</t>
  </si>
  <si>
    <t>Promocodes</t>
  </si>
  <si>
    <t>Website</t>
  </si>
  <si>
    <t>Sub Category</t>
  </si>
  <si>
    <t>Category</t>
  </si>
  <si>
    <t>Source</t>
  </si>
  <si>
    <t>Group Name</t>
  </si>
  <si>
    <t>Merchant Name</t>
  </si>
  <si>
    <t>Merchant ID</t>
  </si>
  <si>
    <t>#</t>
  </si>
  <si>
    <t>Row Labels</t>
  </si>
  <si>
    <t>Grand Total</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</si>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</sst>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mmm\-d\-yyyy"/>
    <numFmt numFmtId="166" formatCode="[$-409]d\-mmm\-yy;@"/>
    <numFmt numFmtId="167" formatCode="[$-409]dd\-mmm\-yy;@"/>
  </numFmts>
  <fonts count="25">
    <font>
      <sz val="11"/>
      <color theme="1"/>
      <name val="Calibri"/>
      <family val="2"/>
      <scheme val="minor"/>
    </font>
    <font>
      <sz val="10"/>
      <color theme="1"/>
      <name val="Calibri"/>
      <family val="2"/>
      <charset val="1"/>
    </font>
    <font>
      <sz val="9"/>
      <name val="Arial"/>
      <family val="2"/>
    </font>
    <font>
      <sz val="9"/>
      <color rgb="FF000000"/>
      <name val="Arial"/>
      <family val="2"/>
    </font>
    <font>
      <b/>
      <sz val="9"/>
      <color rgb="FF155724"/>
      <name val="Arial"/>
      <family val="2"/>
    </font>
    <font>
      <sz val="10"/>
      <color rgb="FF181818"/>
      <name val="Segoe UI"/>
      <family val="2"/>
    </font>
    <font>
      <b/>
      <sz val="9"/>
      <name val="Arial"/>
      <family val="2"/>
    </font>
    <font>
      <sz val="9"/>
      <color rgb="FF0000FF"/>
      <name val="Arial"/>
      <family val="2"/>
    </font>
    <font>
      <sz val="7"/>
      <color rgb="FF181818"/>
      <name val="Segoe UI"/>
      <family val="2"/>
    </font>
    <font>
      <sz val="10"/>
      <color rgb="FF181818"/>
      <name val="Arial"/>
      <family val="2"/>
    </font>
    <font>
      <sz val="10"/>
      <color theme="1"/>
      <name val="Arial"/>
      <family val="2"/>
    </font>
    <font>
      <sz val="10"/>
      <name val="Arial"/>
      <family val="2"/>
    </font>
    <font>
      <sz val="10"/>
      <color rgb="FF000000"/>
      <name val="Arial"/>
      <family val="2"/>
    </font>
    <font>
      <sz val="11"/>
      <color rgb="FF000000"/>
      <name val="Calibri"/>
      <family val="2"/>
      <charset val="1"/>
    </font>
    <font>
      <sz val="10"/>
      <color rgb="FF000000"/>
      <name val="Calibri"/>
      <family val="2"/>
      <charset val="1"/>
    </font>
    <font>
      <sz val="10"/>
      <color rgb="FF181818"/>
      <name val="-Apple-System"/>
      <charset val="1"/>
    </font>
    <font>
      <b/>
      <sz val="9"/>
      <color rgb="FF721C24"/>
      <name val="Arial"/>
      <family val="2"/>
    </font>
    <font>
      <sz val="9"/>
      <name val="Arial"/>
      <family val="2"/>
      <charset val="1"/>
    </font>
    <font>
      <b/>
      <sz val="9"/>
      <color rgb="FF856404"/>
      <name val="Arial"/>
      <family val="2"/>
      <charset val="1"/>
    </font>
    <font>
      <u/>
      <sz val="11"/>
      <color theme="10"/>
      <name val="Calibri"/>
      <family val="2"/>
      <charset val="1"/>
    </font>
    <font>
      <b/>
      <sz val="9"/>
      <color rgb="FF155724"/>
      <name val="Arial"/>
      <family val="2"/>
      <charset val="1"/>
    </font>
    <font>
      <b/>
      <sz val="9"/>
      <color rgb="FF856404"/>
      <name val="Arial"/>
      <family val="2"/>
    </font>
    <font>
      <b/>
      <sz val="10"/>
      <color rgb="FFFFFFFF"/>
      <name val="Arial"/>
      <family val="2"/>
    </font>
    <font>
      <b/>
      <sz val="10"/>
      <color rgb="FFFFFFFF"/>
      <name val="Arial"/>
      <family val="2"/>
      <charset val="1"/>
    </font>
    <font>
      <sz val="10"/>
      <color rgb="FFFFFFFF"/>
      <name val="Arial"/>
      <family val="2"/>
    </font>
  </fonts>
  <fills count="17">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8F9FA"/>
      </patternFill>
    </fill>
    <fill>
      <patternFill patternType="solid">
        <fgColor theme="0"/>
        <bgColor rgb="FFF2F3F4"/>
      </patternFill>
    </fill>
    <fill>
      <patternFill patternType="solid">
        <fgColor rgb="FF27AE60"/>
        <bgColor rgb="FF008080"/>
      </patternFill>
    </fill>
    <fill>
      <patternFill patternType="solid">
        <fgColor theme="0"/>
        <bgColor rgb="FFE9E8E5"/>
      </patternFill>
    </fill>
    <fill>
      <patternFill patternType="solid">
        <fgColor rgb="FFF8F9FA"/>
        <bgColor rgb="FFF2F3F4"/>
      </patternFill>
    </fill>
    <fill>
      <patternFill patternType="solid">
        <fgColor theme="0"/>
        <bgColor rgb="FFDDDDDD"/>
      </patternFill>
    </fill>
    <fill>
      <patternFill patternType="solid">
        <fgColor theme="0"/>
        <bgColor rgb="FF000000"/>
      </patternFill>
    </fill>
    <fill>
      <patternFill patternType="solid">
        <fgColor rgb="FFFFFFFF"/>
        <bgColor rgb="FFF8F9FA"/>
      </patternFill>
    </fill>
    <fill>
      <patternFill patternType="solid">
        <fgColor theme="0"/>
        <bgColor rgb="FFF8D7DA"/>
      </patternFill>
    </fill>
    <fill>
      <patternFill patternType="solid">
        <fgColor theme="0"/>
        <bgColor rgb="FFD5D3D1"/>
      </patternFill>
    </fill>
    <fill>
      <patternFill patternType="solid">
        <fgColor theme="0" tint="-4.9989318521683403E-2"/>
        <bgColor rgb="FFEDEDED"/>
      </patternFill>
    </fill>
    <fill>
      <patternFill patternType="solid">
        <fgColor rgb="FFC0392B"/>
        <bgColor rgb="FFE74C3C"/>
      </patternFill>
    </fill>
    <fill>
      <patternFill patternType="solid">
        <fgColor rgb="FF1A1A2E"/>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DDDDD"/>
      </left>
      <right/>
      <top style="thin">
        <color rgb="FFDDDDDD"/>
      </top>
      <bottom/>
      <diagonal/>
    </border>
    <border>
      <left style="thin">
        <color rgb="FFDDDDDD"/>
      </left>
      <right/>
      <top style="thin">
        <color rgb="FFDDDDDD"/>
      </top>
      <bottom style="thin">
        <color rgb="FFDDDDDD"/>
      </bottom>
      <diagonal/>
    </border>
  </borders>
  <cellStyleXfs count="1">
    <xf numFmtId="0" fontId="0" fillId="0" borderId="0"/>
  </cellStyleXfs>
  <cellXfs count="10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1" fillId="0" borderId="1" xfId="0" applyFont="1" applyBorder="1" applyAlignment="1">
      <alignment horizontal="left" vertical="top"/>
    </xf>
    <xf numFmtId="0" fontId="0" fillId="2" borderId="1" xfId="0"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applyAlignment="1">
      <alignment horizontal="left" vertical="center"/>
    </xf>
    <xf numFmtId="0" fontId="5" fillId="2" borderId="1" xfId="0" applyFont="1" applyFill="1" applyBorder="1" applyAlignment="1">
      <alignment horizontal="left" vertical="top"/>
    </xf>
    <xf numFmtId="0" fontId="2" fillId="5" borderId="2" xfId="0" applyFont="1" applyFill="1" applyBorder="1" applyAlignment="1">
      <alignment horizontal="center" vertical="center"/>
    </xf>
    <xf numFmtId="49" fontId="6" fillId="6" borderId="1"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14" fontId="3"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lef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xf>
    <xf numFmtId="166" fontId="3"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8" fillId="0" borderId="0" xfId="0" applyFont="1"/>
    <xf numFmtId="0" fontId="4" fillId="7" borderId="1" xfId="0" applyFont="1" applyFill="1" applyBorder="1" applyAlignment="1">
      <alignment horizontal="center" vertical="center"/>
    </xf>
    <xf numFmtId="0" fontId="9" fillId="2" borderId="1" xfId="0" applyFont="1" applyFill="1" applyBorder="1" applyAlignment="1">
      <alignment horizontal="left" vertical="top"/>
    </xf>
    <xf numFmtId="0" fontId="10" fillId="2" borderId="1" xfId="0" applyFont="1" applyFill="1" applyBorder="1" applyAlignment="1">
      <alignment horizontal="left" vertical="top"/>
    </xf>
    <xf numFmtId="0" fontId="9" fillId="0" borderId="1" xfId="0" applyFont="1" applyBorder="1" applyAlignment="1">
      <alignment horizontal="left" vertical="top"/>
    </xf>
    <xf numFmtId="0" fontId="2" fillId="8" borderId="1" xfId="0" applyFont="1" applyFill="1" applyBorder="1" applyAlignment="1">
      <alignment horizontal="center" vertical="center"/>
    </xf>
    <xf numFmtId="15" fontId="0" fillId="2" borderId="1" xfId="0" applyNumberFormat="1" applyFill="1" applyBorder="1" applyAlignment="1">
      <alignment horizontal="center" vertical="center"/>
    </xf>
    <xf numFmtId="14" fontId="0" fillId="2" borderId="1" xfId="0" applyNumberFormat="1" applyFill="1" applyBorder="1" applyAlignment="1">
      <alignment horizontal="center" vertical="center"/>
    </xf>
    <xf numFmtId="0" fontId="2" fillId="5" borderId="1" xfId="0" applyFont="1" applyFill="1" applyBorder="1" applyAlignment="1">
      <alignment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0" fontId="11" fillId="5" borderId="1" xfId="0" applyFont="1" applyFill="1" applyBorder="1" applyAlignment="1">
      <alignment horizontal="left" vertical="top"/>
    </xf>
    <xf numFmtId="15" fontId="2" fillId="8" borderId="1" xfId="0" applyNumberFormat="1" applyFont="1" applyFill="1" applyBorder="1" applyAlignment="1">
      <alignment horizontal="center" vertical="center"/>
    </xf>
    <xf numFmtId="14" fontId="3" fillId="8" borderId="1" xfId="0" applyNumberFormat="1" applyFont="1" applyFill="1" applyBorder="1" applyAlignment="1">
      <alignment horizontal="center" vertical="center"/>
    </xf>
    <xf numFmtId="0" fontId="11" fillId="5" borderId="1" xfId="0" applyFont="1" applyFill="1" applyBorder="1" applyAlignment="1">
      <alignment horizontal="left" vertical="top" wrapText="1"/>
    </xf>
    <xf numFmtId="14" fontId="3" fillId="5"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12" fillId="10" borderId="1" xfId="0" applyFont="1" applyFill="1" applyBorder="1" applyAlignment="1">
      <alignment horizontal="left" vertical="top"/>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horizontal="left" vertical="center"/>
    </xf>
    <xf numFmtId="0" fontId="12" fillId="2" borderId="1" xfId="0" applyFont="1" applyFill="1" applyBorder="1" applyAlignment="1">
      <alignment horizontal="left" vertical="top" wrapText="1"/>
    </xf>
    <xf numFmtId="0" fontId="2" fillId="11" borderId="1" xfId="0" applyFont="1" applyFill="1" applyBorder="1" applyAlignment="1">
      <alignment vertical="center"/>
    </xf>
    <xf numFmtId="0" fontId="14" fillId="2" borderId="1" xfId="0" applyFont="1" applyFill="1" applyBorder="1" applyAlignment="1">
      <alignment horizontal="left" vertical="top"/>
    </xf>
    <xf numFmtId="0" fontId="15" fillId="2" borderId="1" xfId="0" applyFont="1" applyFill="1" applyBorder="1" applyAlignment="1">
      <alignment horizontal="left" vertical="top"/>
    </xf>
    <xf numFmtId="165" fontId="0" fillId="2" borderId="1" xfId="0" applyNumberForma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left" vertical="center"/>
    </xf>
    <xf numFmtId="0" fontId="11" fillId="3" borderId="1" xfId="0" applyFont="1" applyFill="1" applyBorder="1" applyAlignment="1">
      <alignment horizontal="left" vertical="top"/>
    </xf>
    <xf numFmtId="0" fontId="2" fillId="3" borderId="2" xfId="0" applyFont="1" applyFill="1" applyBorder="1" applyAlignment="1">
      <alignment horizontal="center" vertical="center"/>
    </xf>
    <xf numFmtId="0" fontId="16" fillId="12"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7" fillId="3" borderId="1" xfId="0" applyFont="1" applyFill="1" applyBorder="1" applyAlignment="1">
      <alignment vertical="center"/>
    </xf>
    <xf numFmtId="0" fontId="17" fillId="3" borderId="1" xfId="0" applyFont="1" applyFill="1" applyBorder="1" applyAlignment="1">
      <alignment horizontal="left" vertical="center"/>
    </xf>
    <xf numFmtId="0" fontId="2" fillId="3" borderId="3" xfId="0" applyFont="1" applyFill="1" applyBorder="1" applyAlignment="1">
      <alignment horizontal="center" vertical="center"/>
    </xf>
    <xf numFmtId="0" fontId="18" fillId="2" borderId="1" xfId="0" applyFont="1" applyFill="1" applyBorder="1" applyAlignment="1">
      <alignment horizontal="center" vertical="center"/>
    </xf>
    <xf numFmtId="0" fontId="11" fillId="4" borderId="1" xfId="0" applyFont="1" applyFill="1" applyBorder="1" applyAlignment="1">
      <alignment horizontal="left" vertical="top"/>
    </xf>
    <xf numFmtId="0" fontId="0" fillId="14" borderId="0" xfId="0" applyFill="1" applyAlignment="1">
      <alignment horizontal="center" vertical="center"/>
    </xf>
    <xf numFmtId="0" fontId="0" fillId="2" borderId="0" xfId="0" applyFill="1" applyAlignment="1">
      <alignment horizontal="center" vertical="center"/>
    </xf>
    <xf numFmtId="0" fontId="0" fillId="13" borderId="0" xfId="0" applyFill="1" applyAlignment="1">
      <alignment horizontal="center" vertical="center"/>
    </xf>
    <xf numFmtId="0" fontId="22" fillId="15" borderId="1"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22" fillId="16" borderId="1" xfId="0" applyFont="1" applyFill="1" applyBorder="1" applyAlignment="1">
      <alignment horizontal="center" vertical="center"/>
    </xf>
    <xf numFmtId="0" fontId="24" fillId="16" borderId="1" xfId="0" applyFont="1" applyFill="1" applyBorder="1" applyAlignment="1">
      <alignment horizontal="center" vertical="top" wrapText="1"/>
    </xf>
    <xf numFmtId="0" fontId="22" fillId="16" borderId="0" xfId="0" applyFont="1" applyFill="1" applyAlignment="1">
      <alignment horizontal="center" vertical="center" wrapText="1"/>
    </xf>
    <xf numFmtId="0" fontId="2" fillId="0" borderId="3" xfId="0" applyFont="1" applyBorder="1" applyAlignment="1">
      <alignment horizontal="center" vertical="center"/>
    </xf>
    <xf numFmtId="0" fontId="11" fillId="0" borderId="1" xfId="0" applyFont="1" applyBorder="1" applyAlignment="1">
      <alignment horizontal="left" vertical="top"/>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vertical="center"/>
    </xf>
    <xf numFmtId="9" fontId="2" fillId="0" borderId="1" xfId="0" applyNumberFormat="1" applyFont="1" applyBorder="1" applyAlignment="1">
      <alignment horizontal="center" vertical="center"/>
    </xf>
    <xf numFmtId="0" fontId="4" fillId="0" borderId="1" xfId="0" applyFont="1" applyBorder="1" applyAlignment="1">
      <alignment horizontal="center" vertical="center"/>
    </xf>
    <xf numFmtId="165" fontId="2"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19" fillId="0" borderId="1" xfId="0" applyFont="1" applyBorder="1" applyAlignment="1">
      <alignment horizontal="center" vertical="center"/>
    </xf>
    <xf numFmtId="0" fontId="16" fillId="0" borderId="1" xfId="0" applyFont="1" applyBorder="1" applyAlignment="1">
      <alignment horizontal="center" vertical="center"/>
    </xf>
    <xf numFmtId="15"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67" fontId="3" fillId="0" borderId="1" xfId="0" applyNumberFormat="1" applyFont="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vertical="center"/>
    </xf>
    <xf numFmtId="0" fontId="17" fillId="0" borderId="1" xfId="0" applyFont="1" applyBorder="1" applyAlignment="1">
      <alignment horizontal="center" vertical="center"/>
    </xf>
    <xf numFmtId="0" fontId="21" fillId="0" borderId="1" xfId="0" applyFont="1" applyBorder="1" applyAlignment="1">
      <alignment horizontal="center" vertical="center"/>
    </xf>
    <xf numFmtId="166" fontId="3"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2" fillId="0" borderId="1" xfId="0" applyFont="1" applyBorder="1"/>
    <xf numFmtId="0" fontId="7" fillId="0" borderId="1" xfId="0" applyFont="1" applyBorder="1" applyAlignment="1">
      <alignment horizontal="center" vertical="center"/>
    </xf>
    <xf numFmtId="0" fontId="17" fillId="0" borderId="1" xfId="0" applyFont="1" applyBorder="1"/>
    <xf numFmtId="0" fontId="20" fillId="0" borderId="1" xfId="0" applyFont="1" applyBorder="1" applyAlignment="1">
      <alignment horizontal="center" vertical="center"/>
    </xf>
    <xf numFmtId="49" fontId="2" fillId="0" borderId="1" xfId="0" applyNumberFormat="1" applyFont="1" applyBorder="1" applyAlignment="1">
      <alignment horizontal="left" vertical="center"/>
    </xf>
    <xf numFmtId="0" fontId="2" fillId="0" borderId="1" xfId="0" applyFont="1" applyBorder="1" applyAlignment="1">
      <alignment horizontal="center" vertical="center" wrapText="1"/>
    </xf>
    <xf numFmtId="0" fontId="19"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1">
    <dxf>
      <fill>
        <patternFill>
          <bgColor rgb="FFFADBD8"/>
        </patternFill>
      </fill>
    </dxf>
    <dxf>
      <fill>
        <patternFill>
          <bgColor rgb="FFFDEBD0"/>
        </patternFill>
      </fill>
    </dxf>
    <dxf>
      <font>
        <b/>
        <sz val="9"/>
        <color rgb="FFFFFFFF"/>
        <name val="Arial"/>
        <charset val="1"/>
      </font>
      <fill>
        <patternFill>
          <bgColor rgb="FFE74C3C"/>
        </patternFill>
      </fill>
    </dxf>
    <dxf>
      <font>
        <b/>
        <sz val="9"/>
        <color rgb="FFFFFFFF"/>
        <name val="Arial"/>
        <charset val="1"/>
      </font>
      <fill>
        <patternFill>
          <bgColor rgb="FF27AE60"/>
        </patternFill>
      </fill>
    </dxf>
    <dxf>
      <font>
        <b/>
        <sz val="9"/>
        <color rgb="FFFFFFFF"/>
        <name val="Arial"/>
        <charset val="1"/>
      </font>
      <fill>
        <patternFill>
          <bgColor rgb="FFF39C12"/>
        </patternFill>
      </fill>
    </dxf>
    <dxf>
      <font>
        <b/>
        <sz val="9"/>
        <color rgb="FFFFFFFF"/>
        <name val="Arial"/>
        <charset val="1"/>
      </font>
      <fill>
        <patternFill>
          <bgColor rgb="FFC0392B"/>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ADBD8"/>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DEBD0"/>
        </patternFill>
      </fill>
    </dxf>
    <dxf>
      <fill>
        <patternFill>
          <bgColor rgb="FFFADBD8"/>
        </patternFill>
      </fill>
    </dxf>
    <dxf>
      <fill>
        <patternFill>
          <bgColor rgb="FFFDEBD0"/>
        </patternFill>
      </fill>
    </dxf>
    <dxf>
      <fill>
        <patternFill>
          <bgColor rgb="FFFDEBD0"/>
        </patternFill>
      </fill>
    </dxf>
    <dxf>
      <fill>
        <patternFill>
          <bgColor rgb="FFFADBD8"/>
        </patternFill>
      </fill>
    </dxf>
    <dxf>
      <fill>
        <patternFill>
          <bgColor rgb="FFFDEBD0"/>
        </patternFill>
      </fill>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fill>
        <patternFill patternType="solid">
          <fgColor rgb="FFFFFFFF"/>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0"/>
      </font>
      <fill>
        <patternFill patternType="solid">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imaTaan/AppData/Local/Microsoft/Windows/INetCache/Content.Outlook/H3W79C92/Yahala_Master_List_2026_updated%207-20-2026.xlsx" TargetMode="External"/><Relationship Id="rId2" Type="http://schemas.openxmlformats.org/officeDocument/2006/relationships/externalLinkPath" Target="file:///C:\Users\DimaTaan\AppData\Local\Microsoft\Windows\INetCache\Content.Outlook\H3W79C92\Yahala_Master_List_2026_updated%207-20-2026.xlsx" TargetMode="External"/><Relationship Id="rId1" Type="http://schemas.openxmlformats.org/officeDocument/2006/relationships/externalLinkPath" Target="/Users/DimaTaan/AppData/Local/Microsoft/Windows/INetCache/Content.Outlook/H3W79C92/Yahala_Master_List_2026_updated%207-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sterList"/>
      <sheetName val="Sheet3"/>
      <sheetName val="Sheet2"/>
      <sheetName val="Contract Tracker"/>
      <sheetName val="Sheet1"/>
    </sheetNames>
    <sheetDataSet>
      <sheetData sheetId="0" refreshError="1"/>
      <sheetData sheetId="1" refreshError="1"/>
      <sheetData sheetId="2">
        <row r="1">
          <cell r="A1" t="str">
            <v>Merchant ID</v>
          </cell>
          <cell r="C1" t="str">
            <v>Merchant Name</v>
          </cell>
          <cell r="D1" t="str">
            <v>Offer Type</v>
          </cell>
          <cell r="E1" t="str">
            <v>Offer Valid From</v>
          </cell>
          <cell r="F1" t="str">
            <v>Offer Valid To</v>
          </cell>
          <cell r="G1" t="str">
            <v>TE Product: TE Product Name</v>
          </cell>
          <cell r="H1" t="str">
            <v>TE Product: 18 digit Id</v>
          </cell>
          <cell r="I1" t="str">
            <v>TE Product: SKU</v>
          </cell>
          <cell r="J1" t="str">
            <v>Offer Status</v>
          </cell>
          <cell r="K1" t="str">
            <v>Created Date</v>
          </cell>
          <cell r="L1" t="str">
            <v>TE Product: Product Location: Product Location Name</v>
          </cell>
        </row>
        <row r="2">
          <cell r="A2" t="str">
            <v>X23882878</v>
          </cell>
          <cell r="C2" t="str">
            <v>Champion Cleaners</v>
          </cell>
          <cell r="D2" t="str">
            <v>% Off</v>
          </cell>
          <cell r="E2">
            <v>46023</v>
          </cell>
          <cell r="F2" t="str">
            <v>31/12/2026</v>
          </cell>
          <cell r="G2" t="str">
            <v>2026 YAHALA - Abu Dhabi Offers</v>
          </cell>
          <cell r="H2" t="str">
            <v>a0CTi00005KAd5mMAD</v>
          </cell>
          <cell r="I2" t="str">
            <v>L26ADYAHA</v>
          </cell>
          <cell r="J2" t="str">
            <v>Active</v>
          </cell>
          <cell r="K2">
            <v>45778</v>
          </cell>
          <cell r="L2" t="str">
            <v>Abu Dhabi</v>
          </cell>
        </row>
        <row r="3">
          <cell r="A3" t="str">
            <v>X23882878</v>
          </cell>
          <cell r="C3" t="str">
            <v>Champion Cleaners</v>
          </cell>
          <cell r="D3" t="str">
            <v>% Off</v>
          </cell>
          <cell r="E3">
            <v>46023</v>
          </cell>
          <cell r="F3" t="str">
            <v>31/12/2026</v>
          </cell>
          <cell r="G3" t="str">
            <v>2026 YAHALA - Abu Dhabi Offers</v>
          </cell>
          <cell r="H3" t="str">
            <v>a0CTi00005KAd5mMAD</v>
          </cell>
          <cell r="I3" t="str">
            <v>L26ADYAHA</v>
          </cell>
          <cell r="J3" t="str">
            <v>Active</v>
          </cell>
          <cell r="K3">
            <v>45778</v>
          </cell>
          <cell r="L3" t="str">
            <v>Abu Dhabi</v>
          </cell>
        </row>
        <row r="4">
          <cell r="A4" t="str">
            <v>X23882878</v>
          </cell>
          <cell r="C4" t="str">
            <v>Champion Cleaners</v>
          </cell>
          <cell r="D4" t="str">
            <v>% Off</v>
          </cell>
          <cell r="E4">
            <v>46023</v>
          </cell>
          <cell r="F4" t="str">
            <v>31/12/2026</v>
          </cell>
          <cell r="G4" t="str">
            <v>2026 YAHALA - Abu Dhabi Offers</v>
          </cell>
          <cell r="H4" t="str">
            <v>a0CTi00005KAd5mMAD</v>
          </cell>
          <cell r="I4" t="str">
            <v>L26ADYAHA</v>
          </cell>
          <cell r="J4" t="str">
            <v>Active</v>
          </cell>
          <cell r="K4">
            <v>45778</v>
          </cell>
          <cell r="L4" t="str">
            <v>Abu Dhabi</v>
          </cell>
        </row>
        <row r="5">
          <cell r="A5" t="str">
            <v>X23952042</v>
          </cell>
          <cell r="C5" t="str">
            <v>UPS</v>
          </cell>
          <cell r="D5" t="str">
            <v>% Off</v>
          </cell>
          <cell r="E5">
            <v>46023</v>
          </cell>
          <cell r="F5" t="str">
            <v>31/12/2026</v>
          </cell>
          <cell r="G5" t="str">
            <v>2026 YAHALA - Abu Dhabi Offers</v>
          </cell>
          <cell r="H5" t="str">
            <v>a0CTi00005KAd5mMAD</v>
          </cell>
          <cell r="I5" t="str">
            <v>L26ADYAHA</v>
          </cell>
          <cell r="J5" t="str">
            <v>Active</v>
          </cell>
          <cell r="K5">
            <v>45994</v>
          </cell>
          <cell r="L5" t="str">
            <v>Abu Dhabi</v>
          </cell>
        </row>
        <row r="6">
          <cell r="A6" t="str">
            <v>X23941393</v>
          </cell>
          <cell r="C6" t="str">
            <v>The Zoo Veterinary Centre</v>
          </cell>
          <cell r="D6" t="str">
            <v>% Off</v>
          </cell>
          <cell r="E6">
            <v>46023</v>
          </cell>
          <cell r="F6" t="str">
            <v>31/12/2026</v>
          </cell>
          <cell r="G6" t="str">
            <v>2026 YAHALA - Abu Dhabi Offers</v>
          </cell>
          <cell r="H6" t="str">
            <v>a0CTi00005KAd5mMAD</v>
          </cell>
          <cell r="I6" t="str">
            <v>L26ADYAHA</v>
          </cell>
          <cell r="J6" t="str">
            <v>Active</v>
          </cell>
          <cell r="K6">
            <v>46002</v>
          </cell>
          <cell r="L6" t="str">
            <v>Abu Dhabi</v>
          </cell>
        </row>
        <row r="7">
          <cell r="A7" t="str">
            <v>X23941393</v>
          </cell>
          <cell r="C7" t="str">
            <v>The Zoo Veterinary Centre</v>
          </cell>
          <cell r="D7" t="str">
            <v>% Off</v>
          </cell>
          <cell r="E7">
            <v>46023</v>
          </cell>
          <cell r="F7" t="str">
            <v>31/12/2026</v>
          </cell>
          <cell r="G7" t="str">
            <v>2026 YAHALA - Abu Dhabi Offers</v>
          </cell>
          <cell r="H7" t="str">
            <v>a0CTi00005KAd5mMAD</v>
          </cell>
          <cell r="I7" t="str">
            <v>L26ADYAHA</v>
          </cell>
          <cell r="J7" t="str">
            <v>Active</v>
          </cell>
          <cell r="K7">
            <v>46002</v>
          </cell>
          <cell r="L7" t="str">
            <v>Abu Dhabi</v>
          </cell>
        </row>
        <row r="8">
          <cell r="A8" t="str">
            <v>X23941393</v>
          </cell>
          <cell r="C8" t="str">
            <v>The Zoo Veterinary Centre</v>
          </cell>
          <cell r="D8" t="str">
            <v>% Off</v>
          </cell>
          <cell r="E8">
            <v>46023</v>
          </cell>
          <cell r="F8" t="str">
            <v>31/12/2026</v>
          </cell>
          <cell r="G8" t="str">
            <v>2026 YAHALA - Abu Dhabi Offers</v>
          </cell>
          <cell r="H8" t="str">
            <v>a0CTi00005KAd5mMAD</v>
          </cell>
          <cell r="I8" t="str">
            <v>L26ADYAHA</v>
          </cell>
          <cell r="J8" t="str">
            <v>Active</v>
          </cell>
          <cell r="K8">
            <v>46002</v>
          </cell>
          <cell r="L8" t="str">
            <v>Abu Dhabi</v>
          </cell>
        </row>
        <row r="9">
          <cell r="A9" t="str">
            <v>X23958321</v>
          </cell>
          <cell r="C9" t="str">
            <v>High Spirits</v>
          </cell>
          <cell r="D9" t="str">
            <v>% Off</v>
          </cell>
          <cell r="E9" t="str">
            <v>17/02/2026</v>
          </cell>
          <cell r="F9" t="str">
            <v>31/12/2026</v>
          </cell>
          <cell r="G9" t="str">
            <v>2026 YAHALA - Abu Dhabi Offers</v>
          </cell>
          <cell r="H9" t="str">
            <v>a0CTi00005KAd5mMAD</v>
          </cell>
          <cell r="I9" t="str">
            <v>L26ADYAHA</v>
          </cell>
          <cell r="J9" t="str">
            <v>Active</v>
          </cell>
          <cell r="K9">
            <v>46055</v>
          </cell>
          <cell r="L9" t="str">
            <v>Abu Dhabi</v>
          </cell>
        </row>
        <row r="10">
          <cell r="A10" t="str">
            <v>X23958321</v>
          </cell>
          <cell r="C10" t="str">
            <v>High Spirits</v>
          </cell>
          <cell r="D10" t="str">
            <v>% Off</v>
          </cell>
          <cell r="E10" t="str">
            <v>17/02/2026</v>
          </cell>
          <cell r="F10" t="str">
            <v>31/12/2026</v>
          </cell>
          <cell r="G10" t="str">
            <v>2026 YAHALA - Abu Dhabi Offers</v>
          </cell>
          <cell r="H10" t="str">
            <v>a0CTi00005KAd5mMAD</v>
          </cell>
          <cell r="I10" t="str">
            <v>L26ADYAHA</v>
          </cell>
          <cell r="J10" t="str">
            <v>Active</v>
          </cell>
          <cell r="K10">
            <v>46055</v>
          </cell>
          <cell r="L10" t="str">
            <v>Abu Dhabi</v>
          </cell>
        </row>
        <row r="11">
          <cell r="A11" t="str">
            <v>X23958321</v>
          </cell>
          <cell r="C11" t="str">
            <v>High Spirits</v>
          </cell>
          <cell r="D11" t="str">
            <v>% Off</v>
          </cell>
          <cell r="E11" t="str">
            <v>17/02/2026</v>
          </cell>
          <cell r="F11" t="str">
            <v>31/12/2026</v>
          </cell>
          <cell r="G11" t="str">
            <v>2026 YAHALA - Abu Dhabi Offers</v>
          </cell>
          <cell r="H11" t="str">
            <v>a0CTi00005KAd5mMAD</v>
          </cell>
          <cell r="I11" t="str">
            <v>L26ADYAHA</v>
          </cell>
          <cell r="J11" t="str">
            <v>Active</v>
          </cell>
          <cell r="K11">
            <v>46055</v>
          </cell>
          <cell r="L11" t="str">
            <v>Abu Dhabi</v>
          </cell>
        </row>
        <row r="12">
          <cell r="A12" t="str">
            <v>X23959502</v>
          </cell>
          <cell r="C12" t="str">
            <v>Legend Rent a Car - Abu Dhabi</v>
          </cell>
          <cell r="D12" t="str">
            <v>% Off</v>
          </cell>
          <cell r="E12">
            <v>46023</v>
          </cell>
          <cell r="F12" t="str">
            <v>31/12/2026</v>
          </cell>
          <cell r="G12" t="str">
            <v>2026 YAHALA - Abu Dhabi Offers</v>
          </cell>
          <cell r="H12" t="str">
            <v>a0CTi00005KAd5mMAD</v>
          </cell>
          <cell r="I12" t="str">
            <v>L26ADYAHA</v>
          </cell>
          <cell r="J12" t="str">
            <v>Active</v>
          </cell>
          <cell r="K12">
            <v>46115</v>
          </cell>
          <cell r="L12" t="str">
            <v>Abu Dhabi</v>
          </cell>
        </row>
        <row r="13">
          <cell r="A13" t="str">
            <v>X23959502</v>
          </cell>
          <cell r="C13" t="str">
            <v>Legend Rent a Car - Abu Dhabi</v>
          </cell>
          <cell r="D13" t="str">
            <v>% Off</v>
          </cell>
          <cell r="E13">
            <v>46023</v>
          </cell>
          <cell r="F13" t="str">
            <v>31/12/2026</v>
          </cell>
          <cell r="G13" t="str">
            <v>2026 YAHALA - Abu Dhabi Offers</v>
          </cell>
          <cell r="H13" t="str">
            <v>a0CTi00005KAd5mMAD</v>
          </cell>
          <cell r="I13" t="str">
            <v>L26ADYAHA</v>
          </cell>
          <cell r="J13" t="str">
            <v>Active</v>
          </cell>
          <cell r="K13">
            <v>46115</v>
          </cell>
          <cell r="L13" t="str">
            <v>Abu Dhabi</v>
          </cell>
        </row>
        <row r="14">
          <cell r="A14" t="str">
            <v>X23959502</v>
          </cell>
          <cell r="C14" t="str">
            <v>Legend Rent a Car - Abu Dhabi</v>
          </cell>
          <cell r="D14" t="str">
            <v>% Off</v>
          </cell>
          <cell r="E14">
            <v>46023</v>
          </cell>
          <cell r="F14" t="str">
            <v>31/12/2026</v>
          </cell>
          <cell r="G14" t="str">
            <v>2026 YAHALA - Abu Dhabi Offers</v>
          </cell>
          <cell r="H14" t="str">
            <v>a0CTi00005KAd5mMAD</v>
          </cell>
          <cell r="I14" t="str">
            <v>L26ADYAHA</v>
          </cell>
          <cell r="J14" t="str">
            <v>Active</v>
          </cell>
          <cell r="K14">
            <v>46115</v>
          </cell>
          <cell r="L14" t="str">
            <v>Abu Dhabi</v>
          </cell>
        </row>
        <row r="15">
          <cell r="A15" t="str">
            <v>X23960156</v>
          </cell>
          <cell r="C15" t="str">
            <v>Aster Opticals Abu Dhabi</v>
          </cell>
          <cell r="D15" t="str">
            <v>% Off</v>
          </cell>
          <cell r="E15" t="str">
            <v>21/05/2026</v>
          </cell>
          <cell r="F15" t="str">
            <v>31/12/2026</v>
          </cell>
          <cell r="G15" t="str">
            <v>2026 YAHALA - Abu Dhabi Offers</v>
          </cell>
          <cell r="H15" t="str">
            <v>a0CTi00005KAd5mMAD</v>
          </cell>
          <cell r="I15" t="str">
            <v>L26ADYAHA</v>
          </cell>
          <cell r="J15" t="str">
            <v>Active</v>
          </cell>
          <cell r="K15">
            <v>46139</v>
          </cell>
          <cell r="L15" t="str">
            <v>Abu Dhabi</v>
          </cell>
        </row>
        <row r="16">
          <cell r="A16" t="str">
            <v>X23953435</v>
          </cell>
          <cell r="C16" t="str">
            <v>Noon SuperMall -Abu Dhabi</v>
          </cell>
          <cell r="D16" t="str">
            <v>% Off</v>
          </cell>
          <cell r="E16">
            <v>46023</v>
          </cell>
          <cell r="F16" t="str">
            <v>31/12/2026</v>
          </cell>
          <cell r="G16" t="str">
            <v>2026 YAHALA Card - Abu Dhabi Offers</v>
          </cell>
          <cell r="H16" t="str">
            <v>a0CTi00005KB47CMAT</v>
          </cell>
          <cell r="I16" t="str">
            <v>L26ADYACA</v>
          </cell>
          <cell r="J16" t="str">
            <v>Active</v>
          </cell>
          <cell r="K16">
            <v>45994</v>
          </cell>
          <cell r="L16" t="str">
            <v>Abu Dhabi</v>
          </cell>
        </row>
        <row r="17">
          <cell r="A17" t="str">
            <v>X23953435</v>
          </cell>
          <cell r="C17" t="str">
            <v>Noon SuperMall -Abu Dhabi</v>
          </cell>
          <cell r="D17" t="str">
            <v>% Off</v>
          </cell>
          <cell r="E17">
            <v>46023</v>
          </cell>
          <cell r="F17" t="str">
            <v>31/12/2026</v>
          </cell>
          <cell r="G17" t="str">
            <v>2026 YAHALA Card - Abu Dhabi Offers</v>
          </cell>
          <cell r="H17" t="str">
            <v>a0CTi00005KB47CMAT</v>
          </cell>
          <cell r="I17" t="str">
            <v>L26ADYACA</v>
          </cell>
          <cell r="J17" t="str">
            <v>Active</v>
          </cell>
          <cell r="K17">
            <v>45994</v>
          </cell>
          <cell r="L17" t="str">
            <v>Abu Dhabi</v>
          </cell>
        </row>
        <row r="18">
          <cell r="A18" t="str">
            <v>X23938199</v>
          </cell>
          <cell r="C18" t="str">
            <v>Baccarat</v>
          </cell>
          <cell r="D18" t="str">
            <v>% Off</v>
          </cell>
          <cell r="E18">
            <v>46023</v>
          </cell>
          <cell r="F18" t="str">
            <v>31/12/2026</v>
          </cell>
          <cell r="G18" t="str">
            <v>2026 YAHALA Card - Abu Dhabi Offers</v>
          </cell>
          <cell r="H18" t="str">
            <v>a0CTi00005KB47CMAT</v>
          </cell>
          <cell r="I18" t="str">
            <v>L26ADYACA</v>
          </cell>
          <cell r="J18" t="str">
            <v>Active</v>
          </cell>
          <cell r="K18">
            <v>45994</v>
          </cell>
          <cell r="L18" t="str">
            <v>Abu Dhabi</v>
          </cell>
        </row>
        <row r="19">
          <cell r="A19" t="str">
            <v>X23938186</v>
          </cell>
          <cell r="C19" t="str">
            <v>Lacoste</v>
          </cell>
          <cell r="D19" t="str">
            <v>% Off</v>
          </cell>
          <cell r="E19">
            <v>46023</v>
          </cell>
          <cell r="F19" t="str">
            <v>31/12/2026</v>
          </cell>
          <cell r="G19" t="str">
            <v>2026 YAHALA Card - Abu Dhabi Offers</v>
          </cell>
          <cell r="H19" t="str">
            <v>a0CTi00005KB47CMAT</v>
          </cell>
          <cell r="I19" t="str">
            <v>L26ADYACA</v>
          </cell>
          <cell r="J19" t="str">
            <v>Active</v>
          </cell>
          <cell r="K19">
            <v>45994</v>
          </cell>
          <cell r="L19" t="str">
            <v>Abu Dhabi</v>
          </cell>
        </row>
        <row r="20">
          <cell r="A20" t="str">
            <v>X23938189</v>
          </cell>
          <cell r="C20" t="str">
            <v>Faces</v>
          </cell>
          <cell r="D20" t="str">
            <v>% Off</v>
          </cell>
          <cell r="E20">
            <v>46023</v>
          </cell>
          <cell r="F20" t="str">
            <v>31/12/2026</v>
          </cell>
          <cell r="G20" t="str">
            <v>2026 YAHALA Card - Abu Dhabi Offers</v>
          </cell>
          <cell r="H20" t="str">
            <v>a0CTi00005KB47CMAT</v>
          </cell>
          <cell r="I20" t="str">
            <v>L26ADYACA</v>
          </cell>
          <cell r="J20" t="str">
            <v>Active</v>
          </cell>
          <cell r="K20">
            <v>45994</v>
          </cell>
          <cell r="L20" t="str">
            <v>Abu Dhabi</v>
          </cell>
        </row>
        <row r="21">
          <cell r="A21" t="str">
            <v>X23938135</v>
          </cell>
          <cell r="C21" t="str">
            <v>YSL - Abu Dhabi</v>
          </cell>
          <cell r="D21" t="str">
            <v>% Off</v>
          </cell>
          <cell r="E21">
            <v>46023</v>
          </cell>
          <cell r="F21" t="str">
            <v>31/12/2026</v>
          </cell>
          <cell r="G21" t="str">
            <v>2026 YAHALA Card - Abu Dhabi Offers</v>
          </cell>
          <cell r="H21" t="str">
            <v>a0CTi00005KB47CMAT</v>
          </cell>
          <cell r="I21" t="str">
            <v>L26ADYACA</v>
          </cell>
          <cell r="J21" t="str">
            <v>Active</v>
          </cell>
          <cell r="K21">
            <v>45994</v>
          </cell>
          <cell r="L21" t="str">
            <v>Abu Dhabi</v>
          </cell>
        </row>
        <row r="22">
          <cell r="A22" t="str">
            <v>X23938191</v>
          </cell>
          <cell r="C22" t="str">
            <v>Tryano</v>
          </cell>
          <cell r="D22" t="str">
            <v>% Off</v>
          </cell>
          <cell r="E22">
            <v>46023</v>
          </cell>
          <cell r="F22" t="str">
            <v>31/12/2026</v>
          </cell>
          <cell r="G22" t="str">
            <v>2026 YAHALA Card - Abu Dhabi Offers</v>
          </cell>
          <cell r="H22" t="str">
            <v>a0CTi00005KB47CMAT</v>
          </cell>
          <cell r="I22" t="str">
            <v>L26ADYACA</v>
          </cell>
          <cell r="J22" t="str">
            <v>Active</v>
          </cell>
          <cell r="K22">
            <v>45994</v>
          </cell>
          <cell r="L22" t="str">
            <v>Abu Dhabi</v>
          </cell>
        </row>
        <row r="23">
          <cell r="A23" t="str">
            <v>X23938375</v>
          </cell>
          <cell r="C23" t="str">
            <v>Villari</v>
          </cell>
          <cell r="D23" t="str">
            <v>% Off</v>
          </cell>
          <cell r="E23">
            <v>46023</v>
          </cell>
          <cell r="F23" t="str">
            <v>31/12/2026</v>
          </cell>
          <cell r="G23" t="str">
            <v>2026 YAHALA Card - Abu Dhabi Offers</v>
          </cell>
          <cell r="H23" t="str">
            <v>a0CTi00005KB47CMAT</v>
          </cell>
          <cell r="I23" t="str">
            <v>L26ADYACA</v>
          </cell>
          <cell r="J23" t="str">
            <v>Active</v>
          </cell>
          <cell r="K23">
            <v>45994</v>
          </cell>
          <cell r="L23" t="str">
            <v>Abu Dhabi</v>
          </cell>
        </row>
        <row r="24">
          <cell r="A24" t="str">
            <v>X23938198</v>
          </cell>
          <cell r="C24" t="str">
            <v>Nars</v>
          </cell>
          <cell r="D24" t="str">
            <v>% Off</v>
          </cell>
          <cell r="E24">
            <v>46023</v>
          </cell>
          <cell r="F24" t="str">
            <v>31/12/2026</v>
          </cell>
          <cell r="G24" t="str">
            <v>2026 YAHALA Card - Abu Dhabi Offers</v>
          </cell>
          <cell r="H24" t="str">
            <v>a0CTi00005KB47CMAT</v>
          </cell>
          <cell r="I24" t="str">
            <v>L26ADYACA</v>
          </cell>
          <cell r="J24" t="str">
            <v>Active</v>
          </cell>
          <cell r="K24">
            <v>45994</v>
          </cell>
          <cell r="L24" t="str">
            <v>Abu Dhabi</v>
          </cell>
        </row>
        <row r="25">
          <cell r="A25" t="str">
            <v>X23938142</v>
          </cell>
          <cell r="C25" t="str">
            <v>Karl Lagerfeld</v>
          </cell>
          <cell r="D25" t="str">
            <v>% Off</v>
          </cell>
          <cell r="E25">
            <v>46023</v>
          </cell>
          <cell r="F25" t="str">
            <v>31/12/2026</v>
          </cell>
          <cell r="G25" t="str">
            <v>2026 YAHALA Card - Abu Dhabi Offers</v>
          </cell>
          <cell r="H25" t="str">
            <v>a0CTi00005KB47CMAT</v>
          </cell>
          <cell r="I25" t="str">
            <v>L26ADYACA</v>
          </cell>
          <cell r="J25" t="str">
            <v>Active</v>
          </cell>
          <cell r="K25">
            <v>45994</v>
          </cell>
          <cell r="L25" t="str">
            <v>Abu Dhabi</v>
          </cell>
        </row>
        <row r="26">
          <cell r="A26" t="str">
            <v>X23938236</v>
          </cell>
          <cell r="C26" t="str">
            <v>Frederic Malle</v>
          </cell>
          <cell r="D26" t="str">
            <v>% Off</v>
          </cell>
          <cell r="E26">
            <v>46023</v>
          </cell>
          <cell r="F26" t="str">
            <v>31/12/2026</v>
          </cell>
          <cell r="G26" t="str">
            <v>2026 YAHALA Card - Abu Dhabi Offers</v>
          </cell>
          <cell r="H26" t="str">
            <v>a0CTi00005KB47CMAT</v>
          </cell>
          <cell r="I26" t="str">
            <v>L26ADYACA</v>
          </cell>
          <cell r="J26" t="str">
            <v>Active</v>
          </cell>
          <cell r="K26">
            <v>45994</v>
          </cell>
          <cell r="L26" t="str">
            <v>Abu Dhabi</v>
          </cell>
        </row>
        <row r="27">
          <cell r="A27" t="str">
            <v>X23938136</v>
          </cell>
          <cell r="C27" t="str">
            <v>Giorgio Armani - Abu Dhabi</v>
          </cell>
          <cell r="D27" t="str">
            <v>% Off</v>
          </cell>
          <cell r="E27">
            <v>46023</v>
          </cell>
          <cell r="F27" t="str">
            <v>31/12/2026</v>
          </cell>
          <cell r="G27" t="str">
            <v>2026 YAHALA Card - Abu Dhabi Offers</v>
          </cell>
          <cell r="H27" t="str">
            <v>a0CTi00005KB47CMAT</v>
          </cell>
          <cell r="I27" t="str">
            <v>L26ADYACA</v>
          </cell>
          <cell r="J27" t="str">
            <v>Active</v>
          </cell>
          <cell r="K27">
            <v>45994</v>
          </cell>
          <cell r="L27" t="str">
            <v>Abu Dhabi</v>
          </cell>
        </row>
        <row r="28">
          <cell r="A28" t="str">
            <v>X23938193</v>
          </cell>
          <cell r="C28" t="str">
            <v>Molton Brown</v>
          </cell>
          <cell r="D28" t="str">
            <v>% Off</v>
          </cell>
          <cell r="E28">
            <v>46023</v>
          </cell>
          <cell r="F28" t="str">
            <v>31/12/2026</v>
          </cell>
          <cell r="G28" t="str">
            <v>2026 YAHALA Card - Abu Dhabi Offers</v>
          </cell>
          <cell r="H28" t="str">
            <v>a0CTi00005KB47CMAT</v>
          </cell>
          <cell r="I28" t="str">
            <v>L26ADYACA</v>
          </cell>
          <cell r="J28" t="str">
            <v>Active</v>
          </cell>
          <cell r="K28">
            <v>45994</v>
          </cell>
          <cell r="L28" t="str">
            <v>Abu Dhabi</v>
          </cell>
        </row>
        <row r="29">
          <cell r="A29" t="str">
            <v>X23942256</v>
          </cell>
          <cell r="C29" t="str">
            <v>N.Bar</v>
          </cell>
          <cell r="D29" t="str">
            <v>% Off</v>
          </cell>
          <cell r="E29">
            <v>46023</v>
          </cell>
          <cell r="F29" t="str">
            <v>31/12/2026</v>
          </cell>
          <cell r="G29" t="str">
            <v>2026 YAHALA Card - Abu Dhabi Offers</v>
          </cell>
          <cell r="H29" t="str">
            <v>a0CTi00005KB47CMAT</v>
          </cell>
          <cell r="I29" t="str">
            <v>L26ADYACA</v>
          </cell>
          <cell r="J29" t="str">
            <v>Active</v>
          </cell>
          <cell r="K29">
            <v>45994</v>
          </cell>
          <cell r="L29" t="str">
            <v>Abu Dhabi</v>
          </cell>
        </row>
        <row r="30">
          <cell r="A30" t="str">
            <v>X23942246</v>
          </cell>
          <cell r="C30" t="str">
            <v>1847 Grooming For Men</v>
          </cell>
          <cell r="D30" t="str">
            <v>% Off</v>
          </cell>
          <cell r="E30">
            <v>46023</v>
          </cell>
          <cell r="F30" t="str">
            <v>31/12/2026</v>
          </cell>
          <cell r="G30" t="str">
            <v>2026 YAHALA Card - Abu Dhabi Offers</v>
          </cell>
          <cell r="H30" t="str">
            <v>a0CTi00005KB47CMAT</v>
          </cell>
          <cell r="I30" t="str">
            <v>L26ADYACA</v>
          </cell>
          <cell r="J30" t="str">
            <v>Active</v>
          </cell>
          <cell r="K30">
            <v>45994</v>
          </cell>
          <cell r="L30" t="str">
            <v>Abu Dhabi</v>
          </cell>
        </row>
        <row r="31">
          <cell r="A31" t="str">
            <v>X23938239</v>
          </cell>
          <cell r="C31" t="str">
            <v>Kids Around</v>
          </cell>
          <cell r="D31" t="str">
            <v>% Off</v>
          </cell>
          <cell r="E31">
            <v>46023</v>
          </cell>
          <cell r="F31" t="str">
            <v>31/12/2026</v>
          </cell>
          <cell r="G31" t="str">
            <v>2026 YAHALA Card - Abu Dhabi Offers</v>
          </cell>
          <cell r="H31" t="str">
            <v>a0CTi00005KB47CMAT</v>
          </cell>
          <cell r="I31" t="str">
            <v>L26ADYACA</v>
          </cell>
          <cell r="J31" t="str">
            <v>Active</v>
          </cell>
          <cell r="K31">
            <v>45994</v>
          </cell>
          <cell r="L31" t="str">
            <v>Abu Dhabi</v>
          </cell>
        </row>
        <row r="32">
          <cell r="A32" t="str">
            <v>X23953433</v>
          </cell>
          <cell r="C32" t="str">
            <v>Noon Food</v>
          </cell>
          <cell r="D32" t="str">
            <v>% Off</v>
          </cell>
          <cell r="E32">
            <v>46023</v>
          </cell>
          <cell r="F32" t="str">
            <v>31/12/2026</v>
          </cell>
          <cell r="G32" t="str">
            <v>2026 YAHALA Card - Abu Dhabi Offers</v>
          </cell>
          <cell r="H32" t="str">
            <v>a0CTi00005KB47CMAT</v>
          </cell>
          <cell r="I32" t="str">
            <v>L26ADYACA</v>
          </cell>
          <cell r="J32" t="str">
            <v>Active</v>
          </cell>
          <cell r="K32">
            <v>45994</v>
          </cell>
          <cell r="L32" t="str">
            <v>Abu Dhabi</v>
          </cell>
        </row>
        <row r="33">
          <cell r="A33" t="str">
            <v>X23953433</v>
          </cell>
          <cell r="C33" t="str">
            <v>Noon Food</v>
          </cell>
          <cell r="D33" t="str">
            <v>% Off</v>
          </cell>
          <cell r="E33">
            <v>46023</v>
          </cell>
          <cell r="F33" t="str">
            <v>31/12/2026</v>
          </cell>
          <cell r="G33" t="str">
            <v>2026 YAHALA Card - Abu Dhabi Offers</v>
          </cell>
          <cell r="H33" t="str">
            <v>a0CTi00005KB47CMAT</v>
          </cell>
          <cell r="I33" t="str">
            <v>L26ADYACA</v>
          </cell>
          <cell r="J33" t="str">
            <v>Active</v>
          </cell>
          <cell r="K33">
            <v>45994</v>
          </cell>
          <cell r="L33" t="str">
            <v>Abu Dhabi</v>
          </cell>
        </row>
        <row r="34">
          <cell r="A34" t="str">
            <v>X23938210</v>
          </cell>
          <cell r="C34" t="str">
            <v>Kilian</v>
          </cell>
          <cell r="D34" t="str">
            <v>% Off</v>
          </cell>
          <cell r="E34">
            <v>46023</v>
          </cell>
          <cell r="F34" t="str">
            <v>31/12/2026</v>
          </cell>
          <cell r="G34" t="str">
            <v>2026 YAHALA Card - Abu Dhabi Offers</v>
          </cell>
          <cell r="H34" t="str">
            <v>a0CTi00005KB47CMAT</v>
          </cell>
          <cell r="I34" t="str">
            <v>L26ADYACA</v>
          </cell>
          <cell r="J34" t="str">
            <v>Active</v>
          </cell>
          <cell r="K34">
            <v>45994</v>
          </cell>
          <cell r="L34" t="str">
            <v>Abu Dhabi</v>
          </cell>
        </row>
        <row r="35">
          <cell r="A35" t="str">
            <v>X23938139</v>
          </cell>
          <cell r="C35" t="str">
            <v>Versace</v>
          </cell>
          <cell r="D35" t="str">
            <v>% Off</v>
          </cell>
          <cell r="E35">
            <v>46023</v>
          </cell>
          <cell r="F35" t="str">
            <v>31/12/2026</v>
          </cell>
          <cell r="G35" t="str">
            <v>2026 YAHALA Card - Abu Dhabi Offers</v>
          </cell>
          <cell r="H35" t="str">
            <v>a0CTi00005KB47CMAT</v>
          </cell>
          <cell r="I35" t="str">
            <v>L26ADYACA</v>
          </cell>
          <cell r="J35" t="str">
            <v>Active</v>
          </cell>
          <cell r="K35">
            <v>45994</v>
          </cell>
          <cell r="L35" t="str">
            <v>Abu Dhabi</v>
          </cell>
        </row>
        <row r="36">
          <cell r="A36" t="str">
            <v>X23884658</v>
          </cell>
          <cell r="C36" t="str">
            <v>Kidzania</v>
          </cell>
          <cell r="D36" t="str">
            <v>% Off</v>
          </cell>
          <cell r="E36">
            <v>46023</v>
          </cell>
          <cell r="F36" t="str">
            <v>31/12/2026</v>
          </cell>
          <cell r="G36" t="str">
            <v>2026 YAHALA Card - Abu Dhabi Offers</v>
          </cell>
          <cell r="H36" t="str">
            <v>a0CTi00005KB47CMAT</v>
          </cell>
          <cell r="I36" t="str">
            <v>L26ADYACA</v>
          </cell>
          <cell r="J36" t="str">
            <v>Active</v>
          </cell>
          <cell r="K36">
            <v>45994</v>
          </cell>
          <cell r="L36" t="str">
            <v>Abu Dhabi</v>
          </cell>
        </row>
        <row r="37">
          <cell r="A37" t="str">
            <v>X23938183</v>
          </cell>
          <cell r="C37" t="str">
            <v>Rene Caovilla</v>
          </cell>
          <cell r="D37" t="str">
            <v>% Off</v>
          </cell>
          <cell r="E37">
            <v>46023</v>
          </cell>
          <cell r="F37" t="str">
            <v>31/12/2026</v>
          </cell>
          <cell r="G37" t="str">
            <v>2026 YAHALA Card - Abu Dhabi Offers</v>
          </cell>
          <cell r="H37" t="str">
            <v>a0CTi00005KB47CMAT</v>
          </cell>
          <cell r="I37" t="str">
            <v>L26ADYACA</v>
          </cell>
          <cell r="J37" t="str">
            <v>Active</v>
          </cell>
          <cell r="K37">
            <v>45994</v>
          </cell>
          <cell r="L37" t="str">
            <v>Abu Dhabi</v>
          </cell>
        </row>
        <row r="38">
          <cell r="A38" t="str">
            <v>X23938200</v>
          </cell>
          <cell r="C38" t="str">
            <v>Christofle</v>
          </cell>
          <cell r="D38" t="str">
            <v>% Off</v>
          </cell>
          <cell r="E38">
            <v>46023</v>
          </cell>
          <cell r="F38" t="str">
            <v>31/12/2026</v>
          </cell>
          <cell r="G38" t="str">
            <v>2026 YAHALA Card - Abu Dhabi Offers</v>
          </cell>
          <cell r="H38" t="str">
            <v>a0CTi00005KB47CMAT</v>
          </cell>
          <cell r="I38" t="str">
            <v>L26ADYACA</v>
          </cell>
          <cell r="J38" t="str">
            <v>Active</v>
          </cell>
          <cell r="K38">
            <v>45994</v>
          </cell>
          <cell r="L38" t="str">
            <v>Abu Dhabi</v>
          </cell>
        </row>
        <row r="39">
          <cell r="A39" t="str">
            <v>X23938237</v>
          </cell>
          <cell r="C39" t="str">
            <v>Bobbi Brown</v>
          </cell>
          <cell r="D39" t="str">
            <v>% Off</v>
          </cell>
          <cell r="E39">
            <v>46023</v>
          </cell>
          <cell r="F39" t="str">
            <v>31/12/2026</v>
          </cell>
          <cell r="G39" t="str">
            <v>2026 YAHALA Card - Abu Dhabi Offers</v>
          </cell>
          <cell r="H39" t="str">
            <v>a0CTi00005KB47CMAT</v>
          </cell>
          <cell r="I39" t="str">
            <v>L26ADYACA</v>
          </cell>
          <cell r="J39" t="str">
            <v>Active</v>
          </cell>
          <cell r="K39">
            <v>45994</v>
          </cell>
          <cell r="L39" t="str">
            <v>Abu Dhabi</v>
          </cell>
        </row>
        <row r="40">
          <cell r="A40" t="str">
            <v>X23938188</v>
          </cell>
          <cell r="C40" t="str">
            <v>Guess</v>
          </cell>
          <cell r="D40" t="str">
            <v>% Off</v>
          </cell>
          <cell r="E40">
            <v>46023</v>
          </cell>
          <cell r="F40" t="str">
            <v>31/12/2026</v>
          </cell>
          <cell r="G40" t="str">
            <v>2026 YAHALA Card - Abu Dhabi Offers</v>
          </cell>
          <cell r="H40" t="str">
            <v>a0CTi00005KB47CMAT</v>
          </cell>
          <cell r="I40" t="str">
            <v>L26ADYACA</v>
          </cell>
          <cell r="J40" t="str">
            <v>Active</v>
          </cell>
          <cell r="K40">
            <v>45994</v>
          </cell>
          <cell r="L40" t="str">
            <v>Abu Dhabi</v>
          </cell>
        </row>
        <row r="41">
          <cell r="A41" t="str">
            <v>X23938182</v>
          </cell>
          <cell r="C41" t="str">
            <v>Michael Kors</v>
          </cell>
          <cell r="D41" t="str">
            <v>% Off</v>
          </cell>
          <cell r="E41">
            <v>46023</v>
          </cell>
          <cell r="F41" t="str">
            <v>31/12/2026</v>
          </cell>
          <cell r="G41" t="str">
            <v>2026 YAHALA Card - Abu Dhabi Offers</v>
          </cell>
          <cell r="H41" t="str">
            <v>a0CTi00005KB47CMAT</v>
          </cell>
          <cell r="I41" t="str">
            <v>L26ADYACA</v>
          </cell>
          <cell r="J41" t="str">
            <v>Active</v>
          </cell>
          <cell r="K41">
            <v>45994</v>
          </cell>
          <cell r="L41" t="str">
            <v>Abu Dhabi</v>
          </cell>
        </row>
        <row r="42">
          <cell r="A42" t="str">
            <v>X23888421</v>
          </cell>
          <cell r="C42" t="str">
            <v>Conrad Abu Dhabi Etihad Tower</v>
          </cell>
          <cell r="D42" t="str">
            <v>Package</v>
          </cell>
          <cell r="E42">
            <v>46023</v>
          </cell>
          <cell r="F42" t="str">
            <v>31/12/2026</v>
          </cell>
          <cell r="G42" t="str">
            <v>2026 YAHALA Card - Abu Dhabi Offers</v>
          </cell>
          <cell r="H42" t="str">
            <v>a0CTi00005KB47CMAT</v>
          </cell>
          <cell r="I42" t="str">
            <v>L26ADYACA</v>
          </cell>
          <cell r="J42" t="str">
            <v>Active</v>
          </cell>
          <cell r="K42">
            <v>45999</v>
          </cell>
          <cell r="L42" t="str">
            <v>Abu Dhabi</v>
          </cell>
        </row>
        <row r="43">
          <cell r="A43" t="str">
            <v>X23930025</v>
          </cell>
          <cell r="C43" t="str">
            <v>Emirates Park Resort - Yahala</v>
          </cell>
          <cell r="D43" t="str">
            <v>Package</v>
          </cell>
          <cell r="E43">
            <v>46023</v>
          </cell>
          <cell r="F43" t="str">
            <v>31/12/2026</v>
          </cell>
          <cell r="G43" t="str">
            <v>2026 YAHALA Card - Abu Dhabi Offers</v>
          </cell>
          <cell r="H43" t="str">
            <v>a0CTi00005KB47CMAT</v>
          </cell>
          <cell r="I43" t="str">
            <v>L26ADYACA</v>
          </cell>
          <cell r="J43" t="str">
            <v>Active</v>
          </cell>
          <cell r="K43">
            <v>46030</v>
          </cell>
          <cell r="L43" t="str">
            <v>Abu Dhabi</v>
          </cell>
        </row>
        <row r="44">
          <cell r="A44" t="str">
            <v>X037752</v>
          </cell>
          <cell r="C44" t="str">
            <v>Traders Hotel, Qaryat Al Beri, Abu Dhabi</v>
          </cell>
          <cell r="D44" t="str">
            <v>Package</v>
          </cell>
          <cell r="E44">
            <v>46023</v>
          </cell>
          <cell r="F44" t="str">
            <v>31/12/2026</v>
          </cell>
          <cell r="G44" t="str">
            <v>2026 YAHALA Card - Abu Dhabi Offers</v>
          </cell>
          <cell r="H44" t="str">
            <v>a0CTi00005KB47CMAT</v>
          </cell>
          <cell r="I44" t="str">
            <v>L26ADYACA</v>
          </cell>
          <cell r="J44" t="str">
            <v>Active</v>
          </cell>
          <cell r="K44">
            <v>46031</v>
          </cell>
          <cell r="L44" t="str">
            <v>Abu Dhabi</v>
          </cell>
        </row>
        <row r="45">
          <cell r="A45" t="str">
            <v>X23958752</v>
          </cell>
          <cell r="C45" t="str">
            <v>Ebraza</v>
          </cell>
          <cell r="D45" t="str">
            <v>% Off</v>
          </cell>
          <cell r="E45">
            <v>46023</v>
          </cell>
          <cell r="F45" t="str">
            <v>31/12/2026</v>
          </cell>
          <cell r="G45" t="str">
            <v>2026 YAHALA Card - Abu Dhabi Offers</v>
          </cell>
          <cell r="H45" t="str">
            <v>a0CTi00005KB47CMAT</v>
          </cell>
          <cell r="I45" t="str">
            <v>L26ADYACA</v>
          </cell>
          <cell r="J45" t="str">
            <v>Active</v>
          </cell>
          <cell r="K45">
            <v>46073</v>
          </cell>
          <cell r="L45" t="str">
            <v>Abu Dhabi</v>
          </cell>
        </row>
        <row r="46">
          <cell r="A46" t="str">
            <v>X23958752</v>
          </cell>
          <cell r="C46" t="str">
            <v>Ebraza</v>
          </cell>
          <cell r="D46" t="str">
            <v>% Off</v>
          </cell>
          <cell r="E46">
            <v>46023</v>
          </cell>
          <cell r="F46" t="str">
            <v>31/12/2026</v>
          </cell>
          <cell r="G46" t="str">
            <v>2026 YAHALA Card - Abu Dhabi Offers</v>
          </cell>
          <cell r="H46" t="str">
            <v>a0CTi00005KB47CMAT</v>
          </cell>
          <cell r="I46" t="str">
            <v>L26ADYACA</v>
          </cell>
          <cell r="J46" t="str">
            <v>Active</v>
          </cell>
          <cell r="K46">
            <v>46073</v>
          </cell>
          <cell r="L46" t="str">
            <v>Abu Dhabi</v>
          </cell>
        </row>
        <row r="47">
          <cell r="A47" t="str">
            <v>X23958752</v>
          </cell>
          <cell r="C47" t="str">
            <v>Ebraza</v>
          </cell>
          <cell r="D47" t="str">
            <v>% Off</v>
          </cell>
          <cell r="E47">
            <v>46023</v>
          </cell>
          <cell r="F47" t="str">
            <v>31/12/2026</v>
          </cell>
          <cell r="G47" t="str">
            <v>2026 YAHALA Card - Abu Dhabi Offers</v>
          </cell>
          <cell r="H47" t="str">
            <v>a0CTi00005KB47CMAT</v>
          </cell>
          <cell r="I47" t="str">
            <v>L26ADYACA</v>
          </cell>
          <cell r="J47" t="str">
            <v>Active</v>
          </cell>
          <cell r="K47">
            <v>46073</v>
          </cell>
          <cell r="L47" t="str">
            <v>Abu Dhabi</v>
          </cell>
        </row>
        <row r="48">
          <cell r="A48" t="str">
            <v>X23959679</v>
          </cell>
          <cell r="C48" t="str">
            <v>SALT - Abu Dhabi</v>
          </cell>
          <cell r="D48" t="str">
            <v>% Off</v>
          </cell>
          <cell r="E48">
            <v>46023</v>
          </cell>
          <cell r="F48" t="str">
            <v>31/12/2026</v>
          </cell>
          <cell r="G48" t="str">
            <v>2026 YAHALA Card - Abu Dhabi Offers</v>
          </cell>
          <cell r="H48" t="str">
            <v>a0CTi00005KB47CMAT</v>
          </cell>
          <cell r="I48" t="str">
            <v>L26ADYACA</v>
          </cell>
          <cell r="J48" t="str">
            <v>Active</v>
          </cell>
          <cell r="K48">
            <v>46120</v>
          </cell>
          <cell r="L48" t="str">
            <v>Abu Dhabi</v>
          </cell>
        </row>
        <row r="49">
          <cell r="A49" t="str">
            <v>X23959689</v>
          </cell>
          <cell r="C49" t="str">
            <v>Somewhere Restaurant - Abu Dhabi</v>
          </cell>
          <cell r="D49" t="str">
            <v>% Off</v>
          </cell>
          <cell r="E49">
            <v>46023</v>
          </cell>
          <cell r="F49" t="str">
            <v>31/12/2026</v>
          </cell>
          <cell r="G49" t="str">
            <v>2026 YAHALA Card - Abu Dhabi Offers</v>
          </cell>
          <cell r="H49" t="str">
            <v>a0CTi00005KB47CMAT</v>
          </cell>
          <cell r="I49" t="str">
            <v>L26ADYACA</v>
          </cell>
          <cell r="J49" t="str">
            <v>Active</v>
          </cell>
          <cell r="K49">
            <v>46120</v>
          </cell>
          <cell r="L49" t="str">
            <v>Abu Dhabi</v>
          </cell>
        </row>
        <row r="50">
          <cell r="A50" t="str">
            <v>X23959694</v>
          </cell>
          <cell r="C50" t="str">
            <v>Public Restaurant - Abu Dhabi</v>
          </cell>
          <cell r="D50" t="str">
            <v>% Off</v>
          </cell>
          <cell r="E50">
            <v>46023</v>
          </cell>
          <cell r="F50" t="str">
            <v>31/12/2026</v>
          </cell>
          <cell r="G50" t="str">
            <v>2026 YAHALA Card - Abu Dhabi Offers</v>
          </cell>
          <cell r="H50" t="str">
            <v>a0CTi00005KB47CMAT</v>
          </cell>
          <cell r="I50" t="str">
            <v>L26ADYACA</v>
          </cell>
          <cell r="J50" t="str">
            <v>Active</v>
          </cell>
          <cell r="K50">
            <v>46120</v>
          </cell>
          <cell r="L50" t="str">
            <v>Abu Dhabi</v>
          </cell>
        </row>
        <row r="51">
          <cell r="A51" t="str">
            <v>X23959683</v>
          </cell>
          <cell r="C51" t="str">
            <v>Parker’s - Abu Dhabi</v>
          </cell>
          <cell r="D51" t="str">
            <v>% Off</v>
          </cell>
          <cell r="E51">
            <v>46023</v>
          </cell>
          <cell r="F51" t="str">
            <v>31/12/2026</v>
          </cell>
          <cell r="G51" t="str">
            <v>2026 YAHALA Card - Abu Dhabi Offers</v>
          </cell>
          <cell r="H51" t="str">
            <v>a0CTi00005KB47CMAT</v>
          </cell>
          <cell r="I51" t="str">
            <v>L26ADYACA</v>
          </cell>
          <cell r="J51" t="str">
            <v>Active</v>
          </cell>
          <cell r="K51">
            <v>46122</v>
          </cell>
          <cell r="L51" t="str">
            <v>Abu Dhabi</v>
          </cell>
        </row>
        <row r="52">
          <cell r="A52" t="str">
            <v>X23961660</v>
          </cell>
          <cell r="C52" t="str">
            <v>Chocolala - Abu Dhabi</v>
          </cell>
          <cell r="D52" t="str">
            <v>% Off</v>
          </cell>
          <cell r="E52">
            <v>46023</v>
          </cell>
          <cell r="F52" t="str">
            <v>31/12/2026</v>
          </cell>
          <cell r="G52" t="str">
            <v>2026 YAHALA Card - Abu Dhabi Offers</v>
          </cell>
          <cell r="H52" t="str">
            <v>a0CTi00005KB47CMAT</v>
          </cell>
          <cell r="I52" t="str">
            <v>L26ADYACA</v>
          </cell>
          <cell r="J52" t="str">
            <v>Active</v>
          </cell>
          <cell r="K52">
            <v>46181</v>
          </cell>
          <cell r="L52" t="str">
            <v>Abu Dhabi</v>
          </cell>
        </row>
        <row r="53">
          <cell r="A53" t="str">
            <v>X23931868</v>
          </cell>
          <cell r="C53" t="str">
            <v>Margaux</v>
          </cell>
          <cell r="D53" t="str">
            <v>% Off</v>
          </cell>
          <cell r="E53">
            <v>46023</v>
          </cell>
          <cell r="F53" t="str">
            <v>31/12/2026</v>
          </cell>
          <cell r="G53" t="str">
            <v>2026 YAHALA Card - Dubai Offers</v>
          </cell>
          <cell r="H53" t="str">
            <v>a0CTi00005KB3kpMAD</v>
          </cell>
          <cell r="I53" t="str">
            <v>L26DBYACA</v>
          </cell>
          <cell r="J53" t="str">
            <v>Active</v>
          </cell>
          <cell r="K53">
            <v>45987</v>
          </cell>
          <cell r="L53" t="str">
            <v>Dubai</v>
          </cell>
        </row>
        <row r="54">
          <cell r="A54" t="str">
            <v>X23880217</v>
          </cell>
          <cell r="C54" t="str">
            <v>Anantara The Palm - F&amp;B Outlets</v>
          </cell>
          <cell r="D54" t="str">
            <v>% Off</v>
          </cell>
          <cell r="E54">
            <v>46023</v>
          </cell>
          <cell r="F54" t="str">
            <v>31/12/2026</v>
          </cell>
          <cell r="G54" t="str">
            <v>2026 YAHALA Card - Dubai Offers</v>
          </cell>
          <cell r="H54" t="str">
            <v>a0CTi00005KB3kpMAD</v>
          </cell>
          <cell r="I54" t="str">
            <v>L26DBYACA</v>
          </cell>
          <cell r="J54" t="str">
            <v>Active</v>
          </cell>
          <cell r="K54">
            <v>45987</v>
          </cell>
          <cell r="L54" t="str">
            <v>Dubai</v>
          </cell>
        </row>
        <row r="55">
          <cell r="A55" t="str">
            <v>X23932689</v>
          </cell>
          <cell r="C55" t="str">
            <v>MayaBay Dubai</v>
          </cell>
          <cell r="D55" t="str">
            <v>% Off</v>
          </cell>
          <cell r="E55">
            <v>46023</v>
          </cell>
          <cell r="F55" t="str">
            <v>31/12/2026</v>
          </cell>
          <cell r="G55" t="str">
            <v>2026 YAHALA Card - Dubai Offers</v>
          </cell>
          <cell r="H55" t="str">
            <v>a0CTi00005KB3kpMAD</v>
          </cell>
          <cell r="I55" t="str">
            <v>L26DBYACA</v>
          </cell>
          <cell r="J55" t="str">
            <v>Active</v>
          </cell>
          <cell r="K55">
            <v>45987</v>
          </cell>
          <cell r="L55" t="str">
            <v>Dubai</v>
          </cell>
        </row>
        <row r="56">
          <cell r="A56" t="str">
            <v>X23933313</v>
          </cell>
          <cell r="C56" t="str">
            <v>GEMS Education</v>
          </cell>
          <cell r="D56" t="str">
            <v>% Off</v>
          </cell>
          <cell r="E56">
            <v>46023</v>
          </cell>
          <cell r="F56" t="str">
            <v>31/12/2026</v>
          </cell>
          <cell r="G56" t="str">
            <v>2026 YAHALA Card - Dubai Offers</v>
          </cell>
          <cell r="H56" t="str">
            <v>a0CTi00005KB3kpMAD</v>
          </cell>
          <cell r="I56" t="str">
            <v>L26DBYACA</v>
          </cell>
          <cell r="J56" t="str">
            <v>Active</v>
          </cell>
          <cell r="K56">
            <v>45988</v>
          </cell>
          <cell r="L56" t="str">
            <v>Dubai</v>
          </cell>
        </row>
        <row r="57">
          <cell r="A57" t="str">
            <v>X23938129</v>
          </cell>
          <cell r="C57" t="str">
            <v>YSL</v>
          </cell>
          <cell r="D57" t="str">
            <v>% Off</v>
          </cell>
          <cell r="E57">
            <v>46023</v>
          </cell>
          <cell r="F57" t="str">
            <v>31/12/2026</v>
          </cell>
          <cell r="G57" t="str">
            <v>2026 YAHALA Card - Dubai Offers</v>
          </cell>
          <cell r="H57" t="str">
            <v>a0CTi00005KB3kpMAD</v>
          </cell>
          <cell r="I57" t="str">
            <v>L26DBYACA</v>
          </cell>
          <cell r="J57" t="str">
            <v>Active</v>
          </cell>
          <cell r="K57">
            <v>45988</v>
          </cell>
          <cell r="L57" t="str">
            <v>Dubai</v>
          </cell>
        </row>
        <row r="58">
          <cell r="A58" t="str">
            <v>X23933682</v>
          </cell>
          <cell r="C58" t="str">
            <v>Breitling - Ahmed Seddiqi &amp; Sons</v>
          </cell>
          <cell r="D58" t="str">
            <v>% Off</v>
          </cell>
          <cell r="E58">
            <v>46023</v>
          </cell>
          <cell r="F58" t="str">
            <v>31/12/2026</v>
          </cell>
          <cell r="G58" t="str">
            <v>2026 YAHALA Card - Dubai Offers</v>
          </cell>
          <cell r="H58" t="str">
            <v>a0CTi00005KB3kpMAD</v>
          </cell>
          <cell r="I58" t="str">
            <v>L26DBYACA</v>
          </cell>
          <cell r="J58" t="str">
            <v>Active</v>
          </cell>
          <cell r="K58">
            <v>45988</v>
          </cell>
          <cell r="L58" t="str">
            <v>Dubai</v>
          </cell>
        </row>
        <row r="59">
          <cell r="A59" t="str">
            <v>X23880442</v>
          </cell>
          <cell r="C59" t="str">
            <v>The Spa - Palazzo Versace Dubai</v>
          </cell>
          <cell r="D59" t="str">
            <v>% Off</v>
          </cell>
          <cell r="E59">
            <v>46023</v>
          </cell>
          <cell r="F59" t="str">
            <v>31/12/2026</v>
          </cell>
          <cell r="G59" t="str">
            <v>2026 YAHALA Card - Dubai Offers</v>
          </cell>
          <cell r="H59" t="str">
            <v>a0CTi00005KB3kpMAD</v>
          </cell>
          <cell r="I59" t="str">
            <v>L26DBYACA</v>
          </cell>
          <cell r="J59" t="str">
            <v>Active</v>
          </cell>
          <cell r="K59">
            <v>45988</v>
          </cell>
          <cell r="L59" t="str">
            <v>Dubai</v>
          </cell>
        </row>
        <row r="60">
          <cell r="A60" t="str">
            <v>X21972351</v>
          </cell>
          <cell r="C60" t="str">
            <v>Enigma</v>
          </cell>
          <cell r="D60" t="str">
            <v>% Off</v>
          </cell>
          <cell r="E60">
            <v>46023</v>
          </cell>
          <cell r="F60" t="str">
            <v>31/12/2026</v>
          </cell>
          <cell r="G60" t="str">
            <v>2026 YAHALA Card - Dubai Offers</v>
          </cell>
          <cell r="H60" t="str">
            <v>a0CTi00005KB3kpMAD</v>
          </cell>
          <cell r="I60" t="str">
            <v>L26DBYACA</v>
          </cell>
          <cell r="J60" t="str">
            <v>Active</v>
          </cell>
          <cell r="K60">
            <v>45989</v>
          </cell>
          <cell r="L60" t="str">
            <v>Dubai</v>
          </cell>
        </row>
        <row r="61">
          <cell r="A61" t="str">
            <v>X21934702</v>
          </cell>
          <cell r="C61" t="str">
            <v>Vanitas</v>
          </cell>
          <cell r="D61" t="str">
            <v>% Off</v>
          </cell>
          <cell r="E61">
            <v>46023</v>
          </cell>
          <cell r="F61" t="str">
            <v>31/12/2026</v>
          </cell>
          <cell r="G61" t="str">
            <v>2026 YAHALA Card - Dubai Offers</v>
          </cell>
          <cell r="H61" t="str">
            <v>a0CTi00005KB3kpMAD</v>
          </cell>
          <cell r="I61" t="str">
            <v>L26DBYACA</v>
          </cell>
          <cell r="J61" t="str">
            <v>Active</v>
          </cell>
          <cell r="K61">
            <v>45989</v>
          </cell>
          <cell r="L61" t="str">
            <v>Dubai</v>
          </cell>
        </row>
        <row r="62">
          <cell r="A62" t="str">
            <v>X23406654</v>
          </cell>
          <cell r="C62" t="str">
            <v>Mosaico Lounge</v>
          </cell>
          <cell r="D62" t="str">
            <v>% Off</v>
          </cell>
          <cell r="E62">
            <v>46023</v>
          </cell>
          <cell r="F62" t="str">
            <v>31/12/2026</v>
          </cell>
          <cell r="G62" t="str">
            <v>2026 YAHALA Card - Dubai Offers</v>
          </cell>
          <cell r="H62" t="str">
            <v>a0CTi00005KB3kpMAD</v>
          </cell>
          <cell r="I62" t="str">
            <v>L26DBYACA</v>
          </cell>
          <cell r="J62" t="str">
            <v>Active</v>
          </cell>
          <cell r="K62">
            <v>45989</v>
          </cell>
          <cell r="L62" t="str">
            <v>Dubai</v>
          </cell>
        </row>
        <row r="63">
          <cell r="A63" t="str">
            <v>X21052026</v>
          </cell>
          <cell r="C63" t="str">
            <v>Snob Salon &amp; Boutique</v>
          </cell>
          <cell r="D63" t="str">
            <v>% Off</v>
          </cell>
          <cell r="E63">
            <v>46023</v>
          </cell>
          <cell r="F63" t="str">
            <v>31/12/2026</v>
          </cell>
          <cell r="G63" t="str">
            <v>2026 YAHALA Card - Dubai Offers</v>
          </cell>
          <cell r="H63" t="str">
            <v>a0CTi00005KB3kpMAD</v>
          </cell>
          <cell r="I63" t="str">
            <v>L26DBYACA</v>
          </cell>
          <cell r="J63" t="str">
            <v>Active</v>
          </cell>
          <cell r="K63">
            <v>45993</v>
          </cell>
          <cell r="L63" t="str">
            <v>Dubai</v>
          </cell>
        </row>
        <row r="64">
          <cell r="A64" t="str">
            <v>X23898313</v>
          </cell>
          <cell r="C64" t="str">
            <v>Low Calories</v>
          </cell>
          <cell r="D64" t="str">
            <v>% Off</v>
          </cell>
          <cell r="E64">
            <v>46023</v>
          </cell>
          <cell r="F64" t="str">
            <v>31/12/2026</v>
          </cell>
          <cell r="G64" t="str">
            <v>2026 YAHALA Card - Dubai Offers</v>
          </cell>
          <cell r="H64" t="str">
            <v>a0CTi00005KB3kpMAD</v>
          </cell>
          <cell r="I64" t="str">
            <v>L26DBYACA</v>
          </cell>
          <cell r="J64" t="str">
            <v>Active</v>
          </cell>
          <cell r="K64">
            <v>45993</v>
          </cell>
          <cell r="L64" t="str">
            <v>Dubai</v>
          </cell>
        </row>
        <row r="65">
          <cell r="A65" t="str">
            <v>X23880976</v>
          </cell>
          <cell r="C65" t="str">
            <v>Al Mandoos</v>
          </cell>
          <cell r="D65" t="str">
            <v>% Off</v>
          </cell>
          <cell r="E65">
            <v>46023</v>
          </cell>
          <cell r="F65" t="str">
            <v>31/12/2026</v>
          </cell>
          <cell r="G65" t="str">
            <v>2026 YAHALA Card - Dubai Offers</v>
          </cell>
          <cell r="H65" t="str">
            <v>a0CTi00005KB3kpMAD</v>
          </cell>
          <cell r="I65" t="str">
            <v>L26DBYACA</v>
          </cell>
          <cell r="J65" t="str">
            <v>Active</v>
          </cell>
          <cell r="K65">
            <v>45993</v>
          </cell>
          <cell r="L65" t="str">
            <v>Dubai</v>
          </cell>
        </row>
        <row r="66">
          <cell r="A66" t="str">
            <v>X23880970</v>
          </cell>
          <cell r="C66" t="str">
            <v>Marli Jewelry</v>
          </cell>
          <cell r="D66" t="str">
            <v>Package</v>
          </cell>
          <cell r="E66">
            <v>46023</v>
          </cell>
          <cell r="F66" t="str">
            <v>31/12/2026</v>
          </cell>
          <cell r="G66" t="str">
            <v>2026 YAHALA Card - Dubai Offers</v>
          </cell>
          <cell r="H66" t="str">
            <v>a0CTi00005KB3kpMAD</v>
          </cell>
          <cell r="I66" t="str">
            <v>L26DBYACA</v>
          </cell>
          <cell r="J66" t="str">
            <v>Active</v>
          </cell>
          <cell r="K66">
            <v>45993</v>
          </cell>
          <cell r="L66" t="str">
            <v>Dubai</v>
          </cell>
        </row>
        <row r="67">
          <cell r="A67" t="str">
            <v>X23908487</v>
          </cell>
          <cell r="C67" t="str">
            <v>YBB Collective Barbershop</v>
          </cell>
          <cell r="D67" t="str">
            <v>% Off</v>
          </cell>
          <cell r="E67">
            <v>46023</v>
          </cell>
          <cell r="F67" t="str">
            <v>31/12/2026</v>
          </cell>
          <cell r="G67" t="str">
            <v>2026 YAHALA Card - Dubai Offers</v>
          </cell>
          <cell r="H67" t="str">
            <v>a0CTi00005KB3kpMAD</v>
          </cell>
          <cell r="I67" t="str">
            <v>L26DBYACA</v>
          </cell>
          <cell r="J67" t="str">
            <v>Active</v>
          </cell>
          <cell r="K67">
            <v>45993</v>
          </cell>
          <cell r="L67" t="str">
            <v>Dubai</v>
          </cell>
        </row>
        <row r="68">
          <cell r="A68" t="str">
            <v>X23908484</v>
          </cell>
          <cell r="C68" t="str">
            <v>Gargash Hospital - Dubai</v>
          </cell>
          <cell r="D68" t="str">
            <v>% Off</v>
          </cell>
          <cell r="E68">
            <v>46023</v>
          </cell>
          <cell r="F68" t="str">
            <v>31/12/2026</v>
          </cell>
          <cell r="G68" t="str">
            <v>2026 YAHALA Card - Dubai Offers</v>
          </cell>
          <cell r="H68" t="str">
            <v>a0CTi00005KB3kpMAD</v>
          </cell>
          <cell r="I68" t="str">
            <v>L26DBYACA</v>
          </cell>
          <cell r="J68" t="str">
            <v>Active</v>
          </cell>
          <cell r="K68">
            <v>45993</v>
          </cell>
          <cell r="L68" t="str">
            <v>Dubai</v>
          </cell>
        </row>
        <row r="69">
          <cell r="A69" t="str">
            <v>X23908484</v>
          </cell>
          <cell r="C69" t="str">
            <v>Gargash Hospital - Dubai</v>
          </cell>
          <cell r="D69" t="str">
            <v>% Off</v>
          </cell>
          <cell r="E69">
            <v>46023</v>
          </cell>
          <cell r="F69" t="str">
            <v>31/12/2026</v>
          </cell>
          <cell r="G69" t="str">
            <v>2026 YAHALA Card - Dubai Offers</v>
          </cell>
          <cell r="H69" t="str">
            <v>a0CTi00005KB3kpMAD</v>
          </cell>
          <cell r="I69" t="str">
            <v>L26DBYACA</v>
          </cell>
          <cell r="J69" t="str">
            <v>Active</v>
          </cell>
          <cell r="K69">
            <v>45993</v>
          </cell>
          <cell r="L69" t="str">
            <v>Dubai</v>
          </cell>
        </row>
        <row r="70">
          <cell r="A70" t="str">
            <v>X23928610</v>
          </cell>
          <cell r="C70" t="str">
            <v>HNS Interior Decoration</v>
          </cell>
          <cell r="D70" t="str">
            <v>% Off</v>
          </cell>
          <cell r="E70">
            <v>46023</v>
          </cell>
          <cell r="F70" t="str">
            <v>31/12/2026</v>
          </cell>
          <cell r="G70" t="str">
            <v>2026 YAHALA Card - Dubai Offers</v>
          </cell>
          <cell r="H70" t="str">
            <v>a0CTi00005KB3kpMAD</v>
          </cell>
          <cell r="I70" t="str">
            <v>L26DBYACA</v>
          </cell>
          <cell r="J70" t="str">
            <v>Active</v>
          </cell>
          <cell r="K70">
            <v>45993</v>
          </cell>
          <cell r="L70" t="str">
            <v>Dubai</v>
          </cell>
        </row>
        <row r="71">
          <cell r="A71" t="str">
            <v>X23880546</v>
          </cell>
          <cell r="C71" t="str">
            <v>Decathlon</v>
          </cell>
          <cell r="D71" t="str">
            <v>% Off</v>
          </cell>
          <cell r="E71">
            <v>46023</v>
          </cell>
          <cell r="F71" t="str">
            <v>31/12/2026</v>
          </cell>
          <cell r="G71" t="str">
            <v>2026 YAHALA Card - Dubai Offers</v>
          </cell>
          <cell r="H71" t="str">
            <v>a0CTi00005KB3kpMAD</v>
          </cell>
          <cell r="I71" t="str">
            <v>L26DBYACA</v>
          </cell>
          <cell r="J71" t="str">
            <v>Active</v>
          </cell>
          <cell r="K71">
            <v>45993</v>
          </cell>
          <cell r="L71" t="str">
            <v>Dubai</v>
          </cell>
        </row>
        <row r="72">
          <cell r="A72" t="str">
            <v>X23880396</v>
          </cell>
          <cell r="C72" t="str">
            <v>Repton School Dubai</v>
          </cell>
          <cell r="D72" t="str">
            <v>% Off</v>
          </cell>
          <cell r="E72">
            <v>46023</v>
          </cell>
          <cell r="F72" t="str">
            <v>31/12/2026</v>
          </cell>
          <cell r="G72" t="str">
            <v>2026 YAHALA Card - Dubai Offers</v>
          </cell>
          <cell r="H72" t="str">
            <v>a0CTi00005KB3kpMAD</v>
          </cell>
          <cell r="I72" t="str">
            <v>L26DBYACA</v>
          </cell>
          <cell r="J72" t="str">
            <v>Active</v>
          </cell>
          <cell r="K72">
            <v>45993</v>
          </cell>
          <cell r="L72" t="str">
            <v>Dubai</v>
          </cell>
        </row>
        <row r="73">
          <cell r="A73" t="str">
            <v>X23901440</v>
          </cell>
          <cell r="C73" t="str">
            <v>Mermaid Diving Center</v>
          </cell>
          <cell r="D73" t="str">
            <v>% Off</v>
          </cell>
          <cell r="E73">
            <v>46023</v>
          </cell>
          <cell r="F73" t="str">
            <v>31/12/2026</v>
          </cell>
          <cell r="G73" t="str">
            <v>2026 YAHALA Card - Dubai Offers</v>
          </cell>
          <cell r="H73" t="str">
            <v>a0CTi00005KB3kpMAD</v>
          </cell>
          <cell r="I73" t="str">
            <v>L26DBYACA</v>
          </cell>
          <cell r="J73" t="str">
            <v>Active</v>
          </cell>
          <cell r="K73">
            <v>45993</v>
          </cell>
          <cell r="L73" t="str">
            <v>Dubai</v>
          </cell>
        </row>
        <row r="74">
          <cell r="A74" t="str">
            <v>X23880214</v>
          </cell>
          <cell r="C74" t="str">
            <v>Glamour Rose</v>
          </cell>
          <cell r="D74" t="str">
            <v>% Off</v>
          </cell>
          <cell r="E74">
            <v>46023</v>
          </cell>
          <cell r="F74" t="str">
            <v>31/12/2026</v>
          </cell>
          <cell r="G74" t="str">
            <v>2026 YAHALA Card - Dubai Offers</v>
          </cell>
          <cell r="H74" t="str">
            <v>a0CTi00005KB3kpMAD</v>
          </cell>
          <cell r="I74" t="str">
            <v>L26DBYACA</v>
          </cell>
          <cell r="J74" t="str">
            <v>Active</v>
          </cell>
          <cell r="K74">
            <v>45993</v>
          </cell>
          <cell r="L74" t="str">
            <v>Dubai</v>
          </cell>
        </row>
        <row r="75">
          <cell r="A75" t="str">
            <v>X23880444</v>
          </cell>
          <cell r="C75" t="str">
            <v>Fit in Time</v>
          </cell>
          <cell r="D75" t="str">
            <v>% Off</v>
          </cell>
          <cell r="E75">
            <v>46023</v>
          </cell>
          <cell r="F75" t="str">
            <v>31/12/2026</v>
          </cell>
          <cell r="G75" t="str">
            <v>2026 YAHALA Card - Dubai Offers</v>
          </cell>
          <cell r="H75" t="str">
            <v>a0CTi00005KB3kpMAD</v>
          </cell>
          <cell r="I75" t="str">
            <v>L26DBYACA</v>
          </cell>
          <cell r="J75" t="str">
            <v>Active</v>
          </cell>
          <cell r="K75">
            <v>45993</v>
          </cell>
          <cell r="L75" t="str">
            <v>Dubai</v>
          </cell>
        </row>
        <row r="76">
          <cell r="A76" t="str">
            <v>X035475</v>
          </cell>
          <cell r="C76" t="str">
            <v>American Academy of Cosmetic Surgery Hospital</v>
          </cell>
          <cell r="D76" t="str">
            <v>% Off</v>
          </cell>
          <cell r="E76">
            <v>46023</v>
          </cell>
          <cell r="F76" t="str">
            <v>31/12/2026</v>
          </cell>
          <cell r="G76" t="str">
            <v>2026 YAHALA Card - Dubai Offers</v>
          </cell>
          <cell r="H76" t="str">
            <v>a0CTi00005KB3kpMAD</v>
          </cell>
          <cell r="I76" t="str">
            <v>L26DBYACA</v>
          </cell>
          <cell r="J76" t="str">
            <v>Active</v>
          </cell>
          <cell r="K76">
            <v>45994</v>
          </cell>
          <cell r="L76" t="str">
            <v>Dubai</v>
          </cell>
        </row>
        <row r="77">
          <cell r="A77" t="str">
            <v>X035475</v>
          </cell>
          <cell r="C77" t="str">
            <v>American Academy of Cosmetic Surgery Hospital</v>
          </cell>
          <cell r="D77" t="str">
            <v>% Off</v>
          </cell>
          <cell r="E77">
            <v>46023</v>
          </cell>
          <cell r="F77" t="str">
            <v>31/12/2026</v>
          </cell>
          <cell r="G77" t="str">
            <v>2026 YAHALA Card - Dubai Offers</v>
          </cell>
          <cell r="H77" t="str">
            <v>a0CTi00005KB3kpMAD</v>
          </cell>
          <cell r="I77" t="str">
            <v>L26DBYACA</v>
          </cell>
          <cell r="J77" t="str">
            <v>Active</v>
          </cell>
          <cell r="K77">
            <v>45994</v>
          </cell>
          <cell r="L77" t="str">
            <v>Dubai</v>
          </cell>
        </row>
        <row r="78">
          <cell r="A78" t="str">
            <v>X035475</v>
          </cell>
          <cell r="C78" t="str">
            <v>American Academy of Cosmetic Surgery Hospital</v>
          </cell>
          <cell r="D78" t="str">
            <v>% Off</v>
          </cell>
          <cell r="E78">
            <v>46023</v>
          </cell>
          <cell r="F78" t="str">
            <v>31/12/2026</v>
          </cell>
          <cell r="G78" t="str">
            <v>2026 YAHALA Card - Dubai Offers</v>
          </cell>
          <cell r="H78" t="str">
            <v>a0CTi00005KB3kpMAD</v>
          </cell>
          <cell r="I78" t="str">
            <v>L26DBYACA</v>
          </cell>
          <cell r="J78" t="str">
            <v>Active</v>
          </cell>
          <cell r="K78">
            <v>45994</v>
          </cell>
          <cell r="L78" t="str">
            <v>Dubai</v>
          </cell>
        </row>
        <row r="79">
          <cell r="A79" t="str">
            <v>X035475</v>
          </cell>
          <cell r="C79" t="str">
            <v>American Academy of Cosmetic Surgery Hospital</v>
          </cell>
          <cell r="D79" t="str">
            <v>% Off</v>
          </cell>
          <cell r="E79">
            <v>46023</v>
          </cell>
          <cell r="F79" t="str">
            <v>31/12/2026</v>
          </cell>
          <cell r="G79" t="str">
            <v>2026 YAHALA Card - Dubai Offers</v>
          </cell>
          <cell r="H79" t="str">
            <v>a0CTi00005KB3kpMAD</v>
          </cell>
          <cell r="I79" t="str">
            <v>L26DBYACA</v>
          </cell>
          <cell r="J79" t="str">
            <v>Active</v>
          </cell>
          <cell r="K79">
            <v>45994</v>
          </cell>
          <cell r="L79" t="str">
            <v>Dubai</v>
          </cell>
        </row>
        <row r="80">
          <cell r="A80" t="str">
            <v>X035475</v>
          </cell>
          <cell r="C80" t="str">
            <v>American Academy of Cosmetic Surgery Hospital</v>
          </cell>
          <cell r="D80" t="str">
            <v>% Off</v>
          </cell>
          <cell r="E80">
            <v>46023</v>
          </cell>
          <cell r="F80" t="str">
            <v>31/12/2026</v>
          </cell>
          <cell r="G80" t="str">
            <v>2026 YAHALA Card - Dubai Offers</v>
          </cell>
          <cell r="H80" t="str">
            <v>a0CTi00005KB3kpMAD</v>
          </cell>
          <cell r="I80" t="str">
            <v>L26DBYACA</v>
          </cell>
          <cell r="J80" t="str">
            <v>Active</v>
          </cell>
          <cell r="K80">
            <v>45994</v>
          </cell>
          <cell r="L80" t="str">
            <v>Dubai</v>
          </cell>
        </row>
        <row r="81">
          <cell r="A81" t="str">
            <v>X23881318</v>
          </cell>
          <cell r="C81" t="str">
            <v>Sultan Al Olama Medical Center</v>
          </cell>
          <cell r="D81" t="str">
            <v>% Off</v>
          </cell>
          <cell r="E81">
            <v>46023</v>
          </cell>
          <cell r="F81" t="str">
            <v>31/12/2026</v>
          </cell>
          <cell r="G81" t="str">
            <v>2026 YAHALA Card - Dubai Offers</v>
          </cell>
          <cell r="H81" t="str">
            <v>a0CTi00005KB3kpMAD</v>
          </cell>
          <cell r="I81" t="str">
            <v>L26DBYACA</v>
          </cell>
          <cell r="J81" t="str">
            <v>Active</v>
          </cell>
          <cell r="K81">
            <v>45994</v>
          </cell>
          <cell r="L81" t="str">
            <v>Dubai</v>
          </cell>
        </row>
        <row r="82">
          <cell r="A82" t="str">
            <v>X23880548</v>
          </cell>
          <cell r="C82" t="str">
            <v>Old Navy</v>
          </cell>
          <cell r="D82" t="str">
            <v>% Off</v>
          </cell>
          <cell r="E82">
            <v>46023</v>
          </cell>
          <cell r="F82" t="str">
            <v>31/12/2026</v>
          </cell>
          <cell r="G82" t="str">
            <v>2026 YAHALA Card - Dubai Offers</v>
          </cell>
          <cell r="H82" t="str">
            <v>a0CTi00005KB3kpMAD</v>
          </cell>
          <cell r="I82" t="str">
            <v>L26DBYACA</v>
          </cell>
          <cell r="J82" t="str">
            <v>Active</v>
          </cell>
          <cell r="K82">
            <v>45994</v>
          </cell>
          <cell r="L82" t="str">
            <v>Dubai</v>
          </cell>
        </row>
        <row r="83">
          <cell r="A83" t="str">
            <v>X23884453</v>
          </cell>
          <cell r="C83" t="str">
            <v>Emirates Specialty Hospital</v>
          </cell>
          <cell r="D83" t="str">
            <v>% Off</v>
          </cell>
          <cell r="E83">
            <v>46023</v>
          </cell>
          <cell r="F83" t="str">
            <v>31/12/2026</v>
          </cell>
          <cell r="G83" t="str">
            <v>2026 YAHALA Card - Dubai Offers</v>
          </cell>
          <cell r="H83" t="str">
            <v>a0CTi00005KB3kpMAD</v>
          </cell>
          <cell r="I83" t="str">
            <v>L26DBYACA</v>
          </cell>
          <cell r="J83" t="str">
            <v>Active</v>
          </cell>
          <cell r="K83">
            <v>45994</v>
          </cell>
          <cell r="L83" t="str">
            <v>Dubai</v>
          </cell>
        </row>
        <row r="84">
          <cell r="A84" t="str">
            <v>X036768</v>
          </cell>
          <cell r="C84" t="str">
            <v>Hanaaya</v>
          </cell>
          <cell r="D84" t="str">
            <v>% Off</v>
          </cell>
          <cell r="E84">
            <v>46023</v>
          </cell>
          <cell r="F84" t="str">
            <v>31/12/2026</v>
          </cell>
          <cell r="G84" t="str">
            <v>2026 YAHALA Card - Dubai Offers</v>
          </cell>
          <cell r="H84" t="str">
            <v>a0CTi00005KB3kpMAD</v>
          </cell>
          <cell r="I84" t="str">
            <v>L26DBYACA</v>
          </cell>
          <cell r="J84" t="str">
            <v>Active</v>
          </cell>
          <cell r="K84">
            <v>45994</v>
          </cell>
          <cell r="L84" t="str">
            <v>Dubai</v>
          </cell>
        </row>
        <row r="85">
          <cell r="A85" t="str">
            <v>X23927981</v>
          </cell>
          <cell r="C85" t="str">
            <v>Sky View Observatory</v>
          </cell>
          <cell r="D85" t="str">
            <v>% Off</v>
          </cell>
          <cell r="E85">
            <v>46023</v>
          </cell>
          <cell r="F85" t="str">
            <v>31/12/2026</v>
          </cell>
          <cell r="G85" t="str">
            <v>2026 YAHALA Card - Dubai Offers</v>
          </cell>
          <cell r="H85" t="str">
            <v>a0CTi00005KB3kpMAD</v>
          </cell>
          <cell r="I85" t="str">
            <v>L26DBYACA</v>
          </cell>
          <cell r="J85" t="str">
            <v>Active</v>
          </cell>
          <cell r="K85">
            <v>45994</v>
          </cell>
          <cell r="L85" t="str">
            <v>Dubai</v>
          </cell>
        </row>
        <row r="86">
          <cell r="A86" t="str">
            <v>X23927981</v>
          </cell>
          <cell r="C86" t="str">
            <v>Sky View Observatory</v>
          </cell>
          <cell r="D86" t="str">
            <v>% Off</v>
          </cell>
          <cell r="E86">
            <v>46023</v>
          </cell>
          <cell r="F86" t="str">
            <v>31/12/2026</v>
          </cell>
          <cell r="G86" t="str">
            <v>2026 YAHALA Card - Dubai Offers</v>
          </cell>
          <cell r="H86" t="str">
            <v>a0CTi00005KB3kpMAD</v>
          </cell>
          <cell r="I86" t="str">
            <v>L26DBYACA</v>
          </cell>
          <cell r="J86" t="str">
            <v>Active</v>
          </cell>
          <cell r="K86">
            <v>45994</v>
          </cell>
          <cell r="L86" t="str">
            <v>Dubai</v>
          </cell>
        </row>
        <row r="87">
          <cell r="A87" t="str">
            <v>X23947620</v>
          </cell>
          <cell r="C87" t="str">
            <v>Osteria Mario</v>
          </cell>
          <cell r="D87" t="str">
            <v>% Off</v>
          </cell>
          <cell r="E87">
            <v>46023</v>
          </cell>
          <cell r="F87" t="str">
            <v>31/12/2026</v>
          </cell>
          <cell r="G87" t="str">
            <v>2026 YAHALA Card - Dubai Offers</v>
          </cell>
          <cell r="H87" t="str">
            <v>a0CTi00005KB3kpMAD</v>
          </cell>
          <cell r="I87" t="str">
            <v>L26DBYACA</v>
          </cell>
          <cell r="J87" t="str">
            <v>Active</v>
          </cell>
          <cell r="K87">
            <v>45994</v>
          </cell>
          <cell r="L87" t="str">
            <v>Dubai</v>
          </cell>
        </row>
        <row r="88">
          <cell r="A88" t="str">
            <v>X23942103</v>
          </cell>
          <cell r="C88" t="str">
            <v>Swiza - Ahmed Seddiqi &amp; Sons</v>
          </cell>
          <cell r="D88" t="str">
            <v>% Off</v>
          </cell>
          <cell r="E88">
            <v>46023</v>
          </cell>
          <cell r="F88" t="str">
            <v>31/12/2026</v>
          </cell>
          <cell r="G88" t="str">
            <v>2026 YAHALA Card - Dubai Offers</v>
          </cell>
          <cell r="H88" t="str">
            <v>a0CTi00005KB3kpMAD</v>
          </cell>
          <cell r="I88" t="str">
            <v>L26DBYACA</v>
          </cell>
          <cell r="J88" t="str">
            <v>Active</v>
          </cell>
          <cell r="K88">
            <v>45994</v>
          </cell>
          <cell r="L88" t="str">
            <v>Dubai</v>
          </cell>
        </row>
        <row r="89">
          <cell r="A89" t="str">
            <v>X23946449</v>
          </cell>
          <cell r="C89" t="str">
            <v>Furla - Ahmed Seddiqi &amp; Sons</v>
          </cell>
          <cell r="D89" t="str">
            <v>% Off</v>
          </cell>
          <cell r="E89">
            <v>46023</v>
          </cell>
          <cell r="F89" t="str">
            <v>31/12/2026</v>
          </cell>
          <cell r="G89" t="str">
            <v>2026 YAHALA Card - Dubai Offers</v>
          </cell>
          <cell r="H89" t="str">
            <v>a0CTi00005KB3kpMAD</v>
          </cell>
          <cell r="I89" t="str">
            <v>L26DBYACA</v>
          </cell>
          <cell r="J89" t="str">
            <v>Active</v>
          </cell>
          <cell r="K89">
            <v>45994</v>
          </cell>
          <cell r="L89" t="str">
            <v>Dubai</v>
          </cell>
        </row>
        <row r="90">
          <cell r="A90" t="str">
            <v>X036783</v>
          </cell>
          <cell r="C90" t="str">
            <v>Talise Spa</v>
          </cell>
          <cell r="D90" t="str">
            <v>% Off</v>
          </cell>
          <cell r="E90">
            <v>46023</v>
          </cell>
          <cell r="F90" t="str">
            <v>31/12/2026</v>
          </cell>
          <cell r="G90" t="str">
            <v>2026 YAHALA Card - Dubai Offers</v>
          </cell>
          <cell r="H90" t="str">
            <v>a0CTi00005KB3kpMAD</v>
          </cell>
          <cell r="I90" t="str">
            <v>L26DBYACA</v>
          </cell>
          <cell r="J90" t="str">
            <v>Active</v>
          </cell>
          <cell r="K90">
            <v>45994</v>
          </cell>
          <cell r="L90" t="str">
            <v>Dubai</v>
          </cell>
        </row>
        <row r="91">
          <cell r="A91" t="str">
            <v>X23945885</v>
          </cell>
          <cell r="C91" t="str">
            <v>La Dame de Pic</v>
          </cell>
          <cell r="D91" t="str">
            <v>% Off</v>
          </cell>
          <cell r="E91">
            <v>46023</v>
          </cell>
          <cell r="F91" t="str">
            <v>31/12/2026</v>
          </cell>
          <cell r="G91" t="str">
            <v>2026 YAHALA Card - Dubai Offers</v>
          </cell>
          <cell r="H91" t="str">
            <v>a0CTi00005KB3kpMAD</v>
          </cell>
          <cell r="I91" t="str">
            <v>L26DBYACA</v>
          </cell>
          <cell r="J91" t="str">
            <v>Active</v>
          </cell>
          <cell r="K91">
            <v>45994</v>
          </cell>
          <cell r="L91" t="str">
            <v>Dubai</v>
          </cell>
        </row>
        <row r="92">
          <cell r="A92" t="str">
            <v>X23934228</v>
          </cell>
          <cell r="C92" t="str">
            <v>Wavehouse</v>
          </cell>
          <cell r="D92" t="str">
            <v>% Off</v>
          </cell>
          <cell r="E92">
            <v>46023</v>
          </cell>
          <cell r="F92" t="str">
            <v>31/12/2026</v>
          </cell>
          <cell r="G92" t="str">
            <v>2026 YAHALA Card - Dubai Offers</v>
          </cell>
          <cell r="H92" t="str">
            <v>a0CTi00005KB3kpMAD</v>
          </cell>
          <cell r="I92" t="str">
            <v>L26DBYACA</v>
          </cell>
          <cell r="J92" t="str">
            <v>Active</v>
          </cell>
          <cell r="K92">
            <v>45994</v>
          </cell>
          <cell r="L92" t="str">
            <v>Dubai</v>
          </cell>
        </row>
        <row r="93">
          <cell r="A93" t="str">
            <v>X23880994</v>
          </cell>
          <cell r="C93" t="str">
            <v>The Elixir Clinic</v>
          </cell>
          <cell r="D93" t="str">
            <v>% Off</v>
          </cell>
          <cell r="E93">
            <v>46023</v>
          </cell>
          <cell r="F93" t="str">
            <v>31/12/2026</v>
          </cell>
          <cell r="G93" t="str">
            <v>2026 YAHALA Card - Dubai Offers</v>
          </cell>
          <cell r="H93" t="str">
            <v>a0CTi00005KB3kpMAD</v>
          </cell>
          <cell r="I93" t="str">
            <v>L26DBYACA</v>
          </cell>
          <cell r="J93" t="str">
            <v>Active</v>
          </cell>
          <cell r="K93">
            <v>45994</v>
          </cell>
          <cell r="L93" t="str">
            <v>Dubai</v>
          </cell>
        </row>
        <row r="94">
          <cell r="A94" t="str">
            <v>X23934231</v>
          </cell>
          <cell r="C94" t="str">
            <v>Dinner by Heston</v>
          </cell>
          <cell r="D94" t="str">
            <v>% Off</v>
          </cell>
          <cell r="E94">
            <v>46023</v>
          </cell>
          <cell r="F94" t="str">
            <v>31/12/2026</v>
          </cell>
          <cell r="G94" t="str">
            <v>2026 YAHALA Card - Dubai Offers</v>
          </cell>
          <cell r="H94" t="str">
            <v>a0CTi00005KB3kpMAD</v>
          </cell>
          <cell r="I94" t="str">
            <v>L26DBYACA</v>
          </cell>
          <cell r="J94" t="str">
            <v>Active</v>
          </cell>
          <cell r="K94">
            <v>45994</v>
          </cell>
          <cell r="L94" t="str">
            <v>Dubai</v>
          </cell>
        </row>
        <row r="95">
          <cell r="A95" t="str">
            <v>X23880432</v>
          </cell>
          <cell r="C95" t="str">
            <v>Jet Set Salons</v>
          </cell>
          <cell r="D95" t="str">
            <v>% Off</v>
          </cell>
          <cell r="E95">
            <v>46023</v>
          </cell>
          <cell r="F95" t="str">
            <v>31/12/2026</v>
          </cell>
          <cell r="G95" t="str">
            <v>2026 YAHALA Card - Dubai Offers</v>
          </cell>
          <cell r="H95" t="str">
            <v>a0CTi00005KB3kpMAD</v>
          </cell>
          <cell r="I95" t="str">
            <v>L26DBYACA</v>
          </cell>
          <cell r="J95" t="str">
            <v>Active</v>
          </cell>
          <cell r="K95">
            <v>45994</v>
          </cell>
          <cell r="L95" t="str">
            <v>Dubai</v>
          </cell>
        </row>
        <row r="96">
          <cell r="A96" t="str">
            <v>X23953407</v>
          </cell>
          <cell r="C96" t="str">
            <v>Noon SuperMall</v>
          </cell>
          <cell r="D96" t="str">
            <v>% Off</v>
          </cell>
          <cell r="E96">
            <v>46023</v>
          </cell>
          <cell r="F96" t="str">
            <v>31/12/2026</v>
          </cell>
          <cell r="G96" t="str">
            <v>2026 YAHALA Card - Dubai Offers</v>
          </cell>
          <cell r="H96" t="str">
            <v>a0CTi00005KB3kpMAD</v>
          </cell>
          <cell r="I96" t="str">
            <v>L26DBYACA</v>
          </cell>
          <cell r="J96" t="str">
            <v>Active</v>
          </cell>
          <cell r="K96">
            <v>45994</v>
          </cell>
          <cell r="L96" t="str">
            <v>Dubai</v>
          </cell>
        </row>
        <row r="97">
          <cell r="A97" t="str">
            <v>X23953407</v>
          </cell>
          <cell r="C97" t="str">
            <v>Noon SuperMall</v>
          </cell>
          <cell r="D97" t="str">
            <v>% Off</v>
          </cell>
          <cell r="E97">
            <v>46023</v>
          </cell>
          <cell r="F97" t="str">
            <v>31/12/2026</v>
          </cell>
          <cell r="G97" t="str">
            <v>2026 YAHALA Card - Dubai Offers</v>
          </cell>
          <cell r="H97" t="str">
            <v>a0CTi00005KB3kpMAD</v>
          </cell>
          <cell r="I97" t="str">
            <v>L26DBYACA</v>
          </cell>
          <cell r="J97" t="str">
            <v>Active</v>
          </cell>
          <cell r="K97">
            <v>45994</v>
          </cell>
          <cell r="L97" t="str">
            <v>Dubai</v>
          </cell>
        </row>
        <row r="98">
          <cell r="A98" t="str">
            <v>X23934236</v>
          </cell>
          <cell r="C98" t="str">
            <v>Gastronomy</v>
          </cell>
          <cell r="D98" t="str">
            <v>% Off</v>
          </cell>
          <cell r="E98">
            <v>46023</v>
          </cell>
          <cell r="F98" t="str">
            <v>31/12/2026</v>
          </cell>
          <cell r="G98" t="str">
            <v>2026 YAHALA Card - Dubai Offers</v>
          </cell>
          <cell r="H98" t="str">
            <v>a0CTi00005KB3kpMAD</v>
          </cell>
          <cell r="I98" t="str">
            <v>L26DBYACA</v>
          </cell>
          <cell r="J98" t="str">
            <v>Active</v>
          </cell>
          <cell r="K98">
            <v>45994</v>
          </cell>
          <cell r="L98" t="str">
            <v>Dubai</v>
          </cell>
        </row>
        <row r="99">
          <cell r="A99" t="str">
            <v>X037838</v>
          </cell>
          <cell r="C99" t="str">
            <v>Wild Wadi</v>
          </cell>
          <cell r="D99" t="str">
            <v>% Off</v>
          </cell>
          <cell r="E99">
            <v>46023</v>
          </cell>
          <cell r="F99" t="str">
            <v>31/12/2026</v>
          </cell>
          <cell r="G99" t="str">
            <v>2026 YAHALA Card - Dubai Offers</v>
          </cell>
          <cell r="H99" t="str">
            <v>a0CTi00005KB3kpMAD</v>
          </cell>
          <cell r="I99" t="str">
            <v>L26DBYACA</v>
          </cell>
          <cell r="J99" t="str">
            <v>Active</v>
          </cell>
          <cell r="K99">
            <v>45994</v>
          </cell>
          <cell r="L99" t="str">
            <v>Dubai</v>
          </cell>
        </row>
        <row r="100">
          <cell r="A100" t="str">
            <v>X23941528</v>
          </cell>
          <cell r="C100" t="str">
            <v>Emporio Armani Swiss - Ahmed Seddiqi &amp; Sons</v>
          </cell>
          <cell r="D100" t="str">
            <v>% Off</v>
          </cell>
          <cell r="E100">
            <v>46023</v>
          </cell>
          <cell r="F100" t="str">
            <v>31/12/2026</v>
          </cell>
          <cell r="G100" t="str">
            <v>2026 YAHALA Card - Dubai Offers</v>
          </cell>
          <cell r="H100" t="str">
            <v>a0CTi00005KB3kpMAD</v>
          </cell>
          <cell r="I100" t="str">
            <v>L26DBYACA</v>
          </cell>
          <cell r="J100" t="str">
            <v>Active</v>
          </cell>
          <cell r="K100">
            <v>45994</v>
          </cell>
          <cell r="L100" t="str">
            <v>Dubai</v>
          </cell>
        </row>
        <row r="101">
          <cell r="A101" t="str">
            <v>X22352096</v>
          </cell>
          <cell r="C101" t="str">
            <v>Bread Street Kitchen &amp; Bar</v>
          </cell>
          <cell r="D101" t="str">
            <v>% Off</v>
          </cell>
          <cell r="E101">
            <v>46023</v>
          </cell>
          <cell r="F101" t="str">
            <v>31/12/2026</v>
          </cell>
          <cell r="G101" t="str">
            <v>2026 YAHALA Card - Dubai Offers</v>
          </cell>
          <cell r="H101" t="str">
            <v>a0CTi00005KB3kpMAD</v>
          </cell>
          <cell r="I101" t="str">
            <v>L26DBYACA</v>
          </cell>
          <cell r="J101" t="str">
            <v>Active</v>
          </cell>
          <cell r="K101">
            <v>45994</v>
          </cell>
          <cell r="L101" t="str">
            <v>Dubai</v>
          </cell>
        </row>
        <row r="102">
          <cell r="A102" t="str">
            <v>X23881334</v>
          </cell>
          <cell r="C102" t="str">
            <v>British Orchard Nursery</v>
          </cell>
          <cell r="D102" t="str">
            <v>% Off</v>
          </cell>
          <cell r="E102">
            <v>46023</v>
          </cell>
          <cell r="F102" t="str">
            <v>31/12/2026</v>
          </cell>
          <cell r="G102" t="str">
            <v>2026 YAHALA Card - Dubai Offers</v>
          </cell>
          <cell r="H102" t="str">
            <v>a0CTi00005KB3kpMAD</v>
          </cell>
          <cell r="I102" t="str">
            <v>L26DBYACA</v>
          </cell>
          <cell r="J102" t="str">
            <v>Active</v>
          </cell>
          <cell r="K102">
            <v>45994</v>
          </cell>
          <cell r="L102" t="str">
            <v>Dubai</v>
          </cell>
        </row>
        <row r="103">
          <cell r="A103" t="str">
            <v>X23954696</v>
          </cell>
          <cell r="C103" t="str">
            <v>Umi Kei</v>
          </cell>
          <cell r="D103" t="str">
            <v>% Off</v>
          </cell>
          <cell r="E103">
            <v>46023</v>
          </cell>
          <cell r="F103" t="str">
            <v>31/12/2026</v>
          </cell>
          <cell r="G103" t="str">
            <v>2026 YAHALA Card - Dubai Offers</v>
          </cell>
          <cell r="H103" t="str">
            <v>a0CTi00005KB3kpMAD</v>
          </cell>
          <cell r="I103" t="str">
            <v>L26DBYACA</v>
          </cell>
          <cell r="J103" t="str">
            <v>Active</v>
          </cell>
          <cell r="K103">
            <v>45994</v>
          </cell>
          <cell r="L103" t="str">
            <v>Dubai</v>
          </cell>
        </row>
        <row r="104">
          <cell r="A104" t="str">
            <v>X23938215</v>
          </cell>
          <cell r="C104" t="str">
            <v>Faces</v>
          </cell>
          <cell r="D104" t="str">
            <v>% Off</v>
          </cell>
          <cell r="E104">
            <v>46023</v>
          </cell>
          <cell r="F104" t="str">
            <v>31/12/2026</v>
          </cell>
          <cell r="G104" t="str">
            <v>2026 YAHALA Card - Dubai Offers</v>
          </cell>
          <cell r="H104" t="str">
            <v>a0CTi00005KB3kpMAD</v>
          </cell>
          <cell r="I104" t="str">
            <v>L26DBYACA</v>
          </cell>
          <cell r="J104" t="str">
            <v>Active</v>
          </cell>
          <cell r="K104">
            <v>45994</v>
          </cell>
          <cell r="L104" t="str">
            <v>Dubai</v>
          </cell>
        </row>
        <row r="105">
          <cell r="A105" t="str">
            <v>X23934238</v>
          </cell>
          <cell r="C105" t="str">
            <v>Ling Ling</v>
          </cell>
          <cell r="D105" t="str">
            <v>% Off</v>
          </cell>
          <cell r="E105">
            <v>46023</v>
          </cell>
          <cell r="F105" t="str">
            <v>31/12/2026</v>
          </cell>
          <cell r="G105" t="str">
            <v>2026 YAHALA Card - Dubai Offers</v>
          </cell>
          <cell r="H105" t="str">
            <v>a0CTi00005KB3kpMAD</v>
          </cell>
          <cell r="I105" t="str">
            <v>L26DBYACA</v>
          </cell>
          <cell r="J105" t="str">
            <v>Active</v>
          </cell>
          <cell r="K105">
            <v>45994</v>
          </cell>
          <cell r="L105" t="str">
            <v>Dubai</v>
          </cell>
        </row>
        <row r="106">
          <cell r="A106" t="str">
            <v>X23890036</v>
          </cell>
          <cell r="C106" t="str">
            <v>Grand Service Station</v>
          </cell>
          <cell r="D106" t="str">
            <v>% Off</v>
          </cell>
          <cell r="E106">
            <v>46023</v>
          </cell>
          <cell r="F106" t="str">
            <v>31/12/2026</v>
          </cell>
          <cell r="G106" t="str">
            <v>2026 YAHALA Card - Dubai Offers</v>
          </cell>
          <cell r="H106" t="str">
            <v>a0CTi00005KB3kpMAD</v>
          </cell>
          <cell r="I106" t="str">
            <v>L26DBYACA</v>
          </cell>
          <cell r="J106" t="str">
            <v>Active</v>
          </cell>
          <cell r="K106">
            <v>45994</v>
          </cell>
          <cell r="L106" t="str">
            <v>Dubai</v>
          </cell>
        </row>
        <row r="107">
          <cell r="A107" t="str">
            <v>X23890036</v>
          </cell>
          <cell r="C107" t="str">
            <v>Grand Service Station</v>
          </cell>
          <cell r="D107" t="str">
            <v>% Off</v>
          </cell>
          <cell r="E107">
            <v>46023</v>
          </cell>
          <cell r="F107" t="str">
            <v>31/12/2026</v>
          </cell>
          <cell r="G107" t="str">
            <v>2026 YAHALA Card - Dubai Offers</v>
          </cell>
          <cell r="H107" t="str">
            <v>a0CTi00005KB3kpMAD</v>
          </cell>
          <cell r="I107" t="str">
            <v>L26DBYACA</v>
          </cell>
          <cell r="J107" t="str">
            <v>Active</v>
          </cell>
          <cell r="K107">
            <v>45994</v>
          </cell>
          <cell r="L107" t="str">
            <v>Dubai</v>
          </cell>
        </row>
        <row r="108">
          <cell r="A108" t="str">
            <v>X23890036</v>
          </cell>
          <cell r="C108" t="str">
            <v>Grand Service Station</v>
          </cell>
          <cell r="D108" t="str">
            <v>% Off</v>
          </cell>
          <cell r="E108">
            <v>46023</v>
          </cell>
          <cell r="F108" t="str">
            <v>31/12/2026</v>
          </cell>
          <cell r="G108" t="str">
            <v>2026 YAHALA Card - Dubai Offers</v>
          </cell>
          <cell r="H108" t="str">
            <v>a0CTi00005KB3kpMAD</v>
          </cell>
          <cell r="I108" t="str">
            <v>L26DBYACA</v>
          </cell>
          <cell r="J108" t="str">
            <v>Active</v>
          </cell>
          <cell r="K108">
            <v>45994</v>
          </cell>
          <cell r="L108" t="str">
            <v>Dubai</v>
          </cell>
        </row>
        <row r="109">
          <cell r="A109" t="str">
            <v>X23938211</v>
          </cell>
          <cell r="C109" t="str">
            <v>Lacoste</v>
          </cell>
          <cell r="D109" t="str">
            <v>% Off</v>
          </cell>
          <cell r="E109">
            <v>46023</v>
          </cell>
          <cell r="F109" t="str">
            <v>31/12/2026</v>
          </cell>
          <cell r="G109" t="str">
            <v>2026 YAHALA Card - Dubai Offers</v>
          </cell>
          <cell r="H109" t="str">
            <v>a0CTi00005KB3kpMAD</v>
          </cell>
          <cell r="I109" t="str">
            <v>L26DBYACA</v>
          </cell>
          <cell r="J109" t="str">
            <v>Active</v>
          </cell>
          <cell r="K109">
            <v>45995</v>
          </cell>
          <cell r="L109" t="str">
            <v>Dubai</v>
          </cell>
        </row>
        <row r="110">
          <cell r="A110" t="str">
            <v>X23953651</v>
          </cell>
          <cell r="C110" t="str">
            <v>Ariana's Persian Kitchen</v>
          </cell>
          <cell r="D110" t="str">
            <v>% Off</v>
          </cell>
          <cell r="E110">
            <v>46023</v>
          </cell>
          <cell r="F110" t="str">
            <v>31/12/2026</v>
          </cell>
          <cell r="G110" t="str">
            <v>2026 YAHALA Card - Dubai Offers</v>
          </cell>
          <cell r="H110" t="str">
            <v>a0CTi00005KB3kpMAD</v>
          </cell>
          <cell r="I110" t="str">
            <v>L26DBYACA</v>
          </cell>
          <cell r="J110" t="str">
            <v>Active</v>
          </cell>
          <cell r="K110">
            <v>45995</v>
          </cell>
          <cell r="L110" t="str">
            <v>Dubai</v>
          </cell>
        </row>
        <row r="111">
          <cell r="A111" t="str">
            <v>X23942161</v>
          </cell>
          <cell r="C111" t="str">
            <v>Arabic Music Institute</v>
          </cell>
          <cell r="D111" t="str">
            <v>% Off</v>
          </cell>
          <cell r="E111">
            <v>46023</v>
          </cell>
          <cell r="F111" t="str">
            <v>31/12/2026</v>
          </cell>
          <cell r="G111" t="str">
            <v>2026 YAHALA Card - Dubai Offers</v>
          </cell>
          <cell r="H111" t="str">
            <v>a0CTi00005KB3kpMAD</v>
          </cell>
          <cell r="I111" t="str">
            <v>L26DBYACA</v>
          </cell>
          <cell r="J111" t="str">
            <v>Active</v>
          </cell>
          <cell r="K111">
            <v>45995</v>
          </cell>
          <cell r="L111" t="str">
            <v>Dubai</v>
          </cell>
        </row>
        <row r="112">
          <cell r="A112" t="str">
            <v>X23942161</v>
          </cell>
          <cell r="C112" t="str">
            <v>Arabic Music Institute</v>
          </cell>
          <cell r="D112" t="str">
            <v>% Off</v>
          </cell>
          <cell r="E112">
            <v>46023</v>
          </cell>
          <cell r="F112" t="str">
            <v>31/12/2026</v>
          </cell>
          <cell r="G112" t="str">
            <v>2026 YAHALA Card - Dubai Offers</v>
          </cell>
          <cell r="H112" t="str">
            <v>a0CTi00005KB3kpMAD</v>
          </cell>
          <cell r="I112" t="str">
            <v>L26DBYACA</v>
          </cell>
          <cell r="J112" t="str">
            <v>Active</v>
          </cell>
          <cell r="K112">
            <v>45995</v>
          </cell>
          <cell r="L112" t="str">
            <v>Dubai</v>
          </cell>
        </row>
        <row r="113">
          <cell r="A113" t="str">
            <v>X23942161</v>
          </cell>
          <cell r="C113" t="str">
            <v>Arabic Music Institute</v>
          </cell>
          <cell r="D113" t="str">
            <v>% Off</v>
          </cell>
          <cell r="E113">
            <v>46023</v>
          </cell>
          <cell r="F113" t="str">
            <v>31/12/2026</v>
          </cell>
          <cell r="G113" t="str">
            <v>2026 YAHALA Card - Dubai Offers</v>
          </cell>
          <cell r="H113" t="str">
            <v>a0CTi00005KB3kpMAD</v>
          </cell>
          <cell r="I113" t="str">
            <v>L26DBYACA</v>
          </cell>
          <cell r="J113" t="str">
            <v>Active</v>
          </cell>
          <cell r="K113">
            <v>45995</v>
          </cell>
          <cell r="L113" t="str">
            <v>Dubai</v>
          </cell>
        </row>
        <row r="114">
          <cell r="A114" t="str">
            <v>X23942874</v>
          </cell>
          <cell r="C114" t="str">
            <v>Chronoswiss - Ahmed Seddiqi &amp; Sons</v>
          </cell>
          <cell r="D114" t="str">
            <v>% Off</v>
          </cell>
          <cell r="E114">
            <v>46023</v>
          </cell>
          <cell r="F114" t="str">
            <v>31/12/2026</v>
          </cell>
          <cell r="G114" t="str">
            <v>2026 YAHALA Card - Dubai Offers</v>
          </cell>
          <cell r="H114" t="str">
            <v>a0CTi00005KB3kpMAD</v>
          </cell>
          <cell r="I114" t="str">
            <v>L26DBYACA</v>
          </cell>
          <cell r="J114" t="str">
            <v>Active</v>
          </cell>
          <cell r="K114">
            <v>45995</v>
          </cell>
          <cell r="L114" t="str">
            <v>Dubai</v>
          </cell>
        </row>
        <row r="115">
          <cell r="A115" t="str">
            <v>X23880238</v>
          </cell>
          <cell r="C115" t="str">
            <v>Hotel Promo Car Rental</v>
          </cell>
          <cell r="D115" t="str">
            <v>Package</v>
          </cell>
          <cell r="E115">
            <v>46023</v>
          </cell>
          <cell r="F115" t="str">
            <v>31/12/2026</v>
          </cell>
          <cell r="G115" t="str">
            <v>2026 YAHALA Card - Dubai Offers</v>
          </cell>
          <cell r="H115" t="str">
            <v>a0CTi00005KB3kpMAD</v>
          </cell>
          <cell r="I115" t="str">
            <v>L26DBYACA</v>
          </cell>
          <cell r="J115" t="str">
            <v>Active</v>
          </cell>
          <cell r="K115">
            <v>45995</v>
          </cell>
          <cell r="L115" t="str">
            <v>Dubai</v>
          </cell>
        </row>
        <row r="116">
          <cell r="A116" t="str">
            <v>X23954702</v>
          </cell>
          <cell r="C116" t="str">
            <v>The Bombay Club</v>
          </cell>
          <cell r="D116" t="str">
            <v>% Off</v>
          </cell>
          <cell r="E116">
            <v>46023</v>
          </cell>
          <cell r="F116" t="str">
            <v>31/12/2026</v>
          </cell>
          <cell r="G116" t="str">
            <v>2026 YAHALA Card - Dubai Offers</v>
          </cell>
          <cell r="H116" t="str">
            <v>a0CTi00005KB3kpMAD</v>
          </cell>
          <cell r="I116" t="str">
            <v>L26DBYACA</v>
          </cell>
          <cell r="J116" t="str">
            <v>Active</v>
          </cell>
          <cell r="K116">
            <v>45995</v>
          </cell>
          <cell r="L116" t="str">
            <v>Dubai</v>
          </cell>
        </row>
        <row r="117">
          <cell r="A117" t="str">
            <v>X23881326</v>
          </cell>
          <cell r="C117" t="str">
            <v>Better Life</v>
          </cell>
          <cell r="D117" t="str">
            <v>% Off</v>
          </cell>
          <cell r="E117">
            <v>46023</v>
          </cell>
          <cell r="F117" t="str">
            <v>31/12/2026</v>
          </cell>
          <cell r="G117" t="str">
            <v>2026 YAHALA Card - Dubai Offers</v>
          </cell>
          <cell r="H117" t="str">
            <v>a0CTi00005KB3kpMAD</v>
          </cell>
          <cell r="I117" t="str">
            <v>L26DBYACA</v>
          </cell>
          <cell r="J117" t="str">
            <v>Active</v>
          </cell>
          <cell r="K117">
            <v>45995</v>
          </cell>
          <cell r="L117" t="str">
            <v>Dubai</v>
          </cell>
        </row>
        <row r="118">
          <cell r="A118" t="str">
            <v>X22300762</v>
          </cell>
          <cell r="C118" t="str">
            <v>Ayamna</v>
          </cell>
          <cell r="D118" t="str">
            <v>% Off</v>
          </cell>
          <cell r="E118">
            <v>46023</v>
          </cell>
          <cell r="F118" t="str">
            <v>31/12/2026</v>
          </cell>
          <cell r="G118" t="str">
            <v>2026 YAHALA Card - Dubai Offers</v>
          </cell>
          <cell r="H118" t="str">
            <v>a0CTi00005KB3kpMAD</v>
          </cell>
          <cell r="I118" t="str">
            <v>L26DBYACA</v>
          </cell>
          <cell r="J118" t="str">
            <v>Active</v>
          </cell>
          <cell r="K118">
            <v>45995</v>
          </cell>
          <cell r="L118" t="str">
            <v>Dubai</v>
          </cell>
        </row>
        <row r="119">
          <cell r="A119" t="str">
            <v>X23953439</v>
          </cell>
          <cell r="C119" t="str">
            <v>Le Gramme - Ahmed Seddiqi &amp; Sons</v>
          </cell>
          <cell r="D119" t="str">
            <v>% Off</v>
          </cell>
          <cell r="E119">
            <v>46023</v>
          </cell>
          <cell r="F119" t="str">
            <v>31/12/2026</v>
          </cell>
          <cell r="G119" t="str">
            <v>2026 YAHALA Card - Dubai Offers</v>
          </cell>
          <cell r="H119" t="str">
            <v>a0CTi00005KB3kpMAD</v>
          </cell>
          <cell r="I119" t="str">
            <v>L26DBYACA</v>
          </cell>
          <cell r="J119" t="str">
            <v>Active</v>
          </cell>
          <cell r="K119">
            <v>45995</v>
          </cell>
          <cell r="L119" t="str">
            <v>Dubai</v>
          </cell>
        </row>
        <row r="120">
          <cell r="A120" t="str">
            <v>X23943136</v>
          </cell>
          <cell r="C120" t="str">
            <v>Armani Exchange - Ahmed Seddiqi &amp; Sons</v>
          </cell>
          <cell r="D120" t="str">
            <v>% Off</v>
          </cell>
          <cell r="E120">
            <v>46023</v>
          </cell>
          <cell r="F120" t="str">
            <v>31/12/2026</v>
          </cell>
          <cell r="G120" t="str">
            <v>2026 YAHALA Card - Dubai Offers</v>
          </cell>
          <cell r="H120" t="str">
            <v>a0CTi00005KB3kpMAD</v>
          </cell>
          <cell r="I120" t="str">
            <v>L26DBYACA</v>
          </cell>
          <cell r="J120" t="str">
            <v>Active</v>
          </cell>
          <cell r="K120">
            <v>45995</v>
          </cell>
          <cell r="L120" t="str">
            <v>Dubai</v>
          </cell>
        </row>
        <row r="121">
          <cell r="A121" t="str">
            <v>X23938218</v>
          </cell>
          <cell r="C121" t="str">
            <v>Molton Brown</v>
          </cell>
          <cell r="D121" t="str">
            <v>% Off</v>
          </cell>
          <cell r="E121">
            <v>46023</v>
          </cell>
          <cell r="F121" t="str">
            <v>31/12/2026</v>
          </cell>
          <cell r="G121" t="str">
            <v>2026 YAHALA Card - Dubai Offers</v>
          </cell>
          <cell r="H121" t="str">
            <v>a0CTi00005KB3kpMAD</v>
          </cell>
          <cell r="I121" t="str">
            <v>L26DBYACA</v>
          </cell>
          <cell r="J121" t="str">
            <v>Active</v>
          </cell>
          <cell r="K121">
            <v>45995</v>
          </cell>
          <cell r="L121" t="str">
            <v>Dubai</v>
          </cell>
        </row>
        <row r="122">
          <cell r="A122" t="str">
            <v>X23927978</v>
          </cell>
          <cell r="C122" t="str">
            <v>The Storm Coaster</v>
          </cell>
          <cell r="D122" t="str">
            <v>% Off</v>
          </cell>
          <cell r="E122">
            <v>46023</v>
          </cell>
          <cell r="F122" t="str">
            <v>31/12/2026</v>
          </cell>
          <cell r="G122" t="str">
            <v>2026 YAHALA Card - Dubai Offers</v>
          </cell>
          <cell r="H122" t="str">
            <v>a0CTi00005KB3kpMAD</v>
          </cell>
          <cell r="I122" t="str">
            <v>L26DBYACA</v>
          </cell>
          <cell r="J122" t="str">
            <v>Active</v>
          </cell>
          <cell r="K122">
            <v>45995</v>
          </cell>
          <cell r="L122" t="str">
            <v>Dubai</v>
          </cell>
        </row>
        <row r="123">
          <cell r="A123" t="str">
            <v>X23927978</v>
          </cell>
          <cell r="C123" t="str">
            <v>The Storm Coaster</v>
          </cell>
          <cell r="D123" t="str">
            <v>% Off</v>
          </cell>
          <cell r="E123">
            <v>46023</v>
          </cell>
          <cell r="F123" t="str">
            <v>31/12/2026</v>
          </cell>
          <cell r="G123" t="str">
            <v>2026 YAHALA Card - Dubai Offers</v>
          </cell>
          <cell r="H123" t="str">
            <v>a0CTi00005KB3kpMAD</v>
          </cell>
          <cell r="I123" t="str">
            <v>L26DBYACA</v>
          </cell>
          <cell r="J123" t="str">
            <v>Active</v>
          </cell>
          <cell r="K123">
            <v>45995</v>
          </cell>
          <cell r="L123" t="str">
            <v>Dubai</v>
          </cell>
        </row>
        <row r="124">
          <cell r="A124" t="str">
            <v>X23927978</v>
          </cell>
          <cell r="C124" t="str">
            <v>The Storm Coaster</v>
          </cell>
          <cell r="D124" t="str">
            <v>% Off</v>
          </cell>
          <cell r="E124">
            <v>46023</v>
          </cell>
          <cell r="F124" t="str">
            <v>31/12/2026</v>
          </cell>
          <cell r="G124" t="str">
            <v>2026 YAHALA Card - Dubai Offers</v>
          </cell>
          <cell r="H124" t="str">
            <v>a0CTi00005KB3kpMAD</v>
          </cell>
          <cell r="I124" t="str">
            <v>L26DBYACA</v>
          </cell>
          <cell r="J124" t="str">
            <v>Active</v>
          </cell>
          <cell r="K124">
            <v>45995</v>
          </cell>
          <cell r="L124" t="str">
            <v>Dubai</v>
          </cell>
        </row>
        <row r="125">
          <cell r="A125" t="str">
            <v>X23938207</v>
          </cell>
          <cell r="C125" t="str">
            <v>Michael Kors</v>
          </cell>
          <cell r="D125" t="str">
            <v>% Off</v>
          </cell>
          <cell r="E125">
            <v>46023</v>
          </cell>
          <cell r="F125" t="str">
            <v>31/12/2026</v>
          </cell>
          <cell r="G125" t="str">
            <v>2026 YAHALA Card - Dubai Offers</v>
          </cell>
          <cell r="H125" t="str">
            <v>a0CTi00005KB3kpMAD</v>
          </cell>
          <cell r="I125" t="str">
            <v>L26DBYACA</v>
          </cell>
          <cell r="J125" t="str">
            <v>Active</v>
          </cell>
          <cell r="K125">
            <v>45995</v>
          </cell>
          <cell r="L125" t="str">
            <v>Dubai</v>
          </cell>
        </row>
        <row r="126">
          <cell r="A126" t="str">
            <v>X23947623</v>
          </cell>
          <cell r="C126" t="str">
            <v>SHVILI</v>
          </cell>
          <cell r="D126" t="str">
            <v>% Off</v>
          </cell>
          <cell r="E126">
            <v>46023</v>
          </cell>
          <cell r="F126" t="str">
            <v>31/12/2026</v>
          </cell>
          <cell r="G126" t="str">
            <v>2026 YAHALA Card - Dubai Offers</v>
          </cell>
          <cell r="H126" t="str">
            <v>a0CTi00005KB3kpMAD</v>
          </cell>
          <cell r="I126" t="str">
            <v>L26DBYACA</v>
          </cell>
          <cell r="J126" t="str">
            <v>Active</v>
          </cell>
          <cell r="K126">
            <v>45995</v>
          </cell>
          <cell r="L126" t="str">
            <v>Dubai</v>
          </cell>
        </row>
        <row r="127">
          <cell r="A127" t="str">
            <v>X23953650</v>
          </cell>
          <cell r="C127" t="str">
            <v>Milos</v>
          </cell>
          <cell r="D127" t="str">
            <v>% Off</v>
          </cell>
          <cell r="E127">
            <v>46023</v>
          </cell>
          <cell r="F127" t="str">
            <v>31/12/2026</v>
          </cell>
          <cell r="G127" t="str">
            <v>2026 YAHALA Card - Dubai Offers</v>
          </cell>
          <cell r="H127" t="str">
            <v>a0CTi00005KB3kpMAD</v>
          </cell>
          <cell r="I127" t="str">
            <v>L26DBYACA</v>
          </cell>
          <cell r="J127" t="str">
            <v>Active</v>
          </cell>
          <cell r="K127">
            <v>45995</v>
          </cell>
          <cell r="L127" t="str">
            <v>Dubai</v>
          </cell>
        </row>
        <row r="128">
          <cell r="A128" t="str">
            <v>X23756734</v>
          </cell>
          <cell r="C128" t="str">
            <v>The Burj Club</v>
          </cell>
          <cell r="D128" t="str">
            <v>% Off</v>
          </cell>
          <cell r="E128">
            <v>46023</v>
          </cell>
          <cell r="F128" t="str">
            <v>31/12/2026</v>
          </cell>
          <cell r="G128" t="str">
            <v>2026 YAHALA Card - Dubai Offers</v>
          </cell>
          <cell r="H128" t="str">
            <v>a0CTi00005KB3kpMAD</v>
          </cell>
          <cell r="I128" t="str">
            <v>L26DBYACA</v>
          </cell>
          <cell r="J128" t="str">
            <v>Active</v>
          </cell>
          <cell r="K128">
            <v>45995</v>
          </cell>
          <cell r="L128" t="str">
            <v>Dubai</v>
          </cell>
        </row>
        <row r="129">
          <cell r="A129" t="str">
            <v>X23756734</v>
          </cell>
          <cell r="C129" t="str">
            <v>The Burj Club</v>
          </cell>
          <cell r="D129" t="str">
            <v>% Off</v>
          </cell>
          <cell r="E129">
            <v>46023</v>
          </cell>
          <cell r="F129" t="str">
            <v>31/12/2026</v>
          </cell>
          <cell r="G129" t="str">
            <v>2026 YAHALA Card - Dubai Offers</v>
          </cell>
          <cell r="H129" t="str">
            <v>a0CTi00005KB3kpMAD</v>
          </cell>
          <cell r="I129" t="str">
            <v>L26DBYACA</v>
          </cell>
          <cell r="J129" t="str">
            <v>Active</v>
          </cell>
          <cell r="K129">
            <v>45995</v>
          </cell>
          <cell r="L129" t="str">
            <v>Dubai</v>
          </cell>
        </row>
        <row r="130">
          <cell r="A130" t="str">
            <v>X23934226</v>
          </cell>
          <cell r="C130" t="str">
            <v>En Fuego - Atlantis The Palm</v>
          </cell>
          <cell r="D130" t="str">
            <v>% Off</v>
          </cell>
          <cell r="E130">
            <v>46023</v>
          </cell>
          <cell r="F130" t="str">
            <v>31/12/2026</v>
          </cell>
          <cell r="G130" t="str">
            <v>2026 YAHALA Card - Dubai Offers</v>
          </cell>
          <cell r="H130" t="str">
            <v>a0CTi00005KB3kpMAD</v>
          </cell>
          <cell r="I130" t="str">
            <v>L26DBYACA</v>
          </cell>
          <cell r="J130" t="str">
            <v>Active</v>
          </cell>
          <cell r="K130">
            <v>45995</v>
          </cell>
          <cell r="L130" t="str">
            <v>Dubai</v>
          </cell>
        </row>
        <row r="131">
          <cell r="A131" t="str">
            <v>X23880965</v>
          </cell>
          <cell r="C131" t="str">
            <v>Al Thawb Al Watani</v>
          </cell>
          <cell r="D131" t="str">
            <v>% Off</v>
          </cell>
          <cell r="E131">
            <v>46023</v>
          </cell>
          <cell r="F131" t="str">
            <v>31/12/2026</v>
          </cell>
          <cell r="G131" t="str">
            <v>2026 YAHALA Card - Dubai Offers</v>
          </cell>
          <cell r="H131" t="str">
            <v>a0CTi00005KB3kpMAD</v>
          </cell>
          <cell r="I131" t="str">
            <v>L26DBYACA</v>
          </cell>
          <cell r="J131" t="str">
            <v>Active</v>
          </cell>
          <cell r="K131">
            <v>45995</v>
          </cell>
          <cell r="L131" t="str">
            <v>Dubai</v>
          </cell>
        </row>
        <row r="132">
          <cell r="A132" t="str">
            <v>X23951159</v>
          </cell>
          <cell r="C132" t="str">
            <v>Nuska Beach</v>
          </cell>
          <cell r="D132" t="str">
            <v>% Off</v>
          </cell>
          <cell r="E132">
            <v>46023</v>
          </cell>
          <cell r="F132" t="str">
            <v>31/12/2026</v>
          </cell>
          <cell r="G132" t="str">
            <v>2026 YAHALA Card - Dubai Offers</v>
          </cell>
          <cell r="H132" t="str">
            <v>a0CTi00005KB3kpMAD</v>
          </cell>
          <cell r="I132" t="str">
            <v>L26DBYACA</v>
          </cell>
          <cell r="J132" t="str">
            <v>Active</v>
          </cell>
          <cell r="K132">
            <v>45995</v>
          </cell>
          <cell r="L132" t="str">
            <v>Dubai</v>
          </cell>
        </row>
        <row r="133">
          <cell r="A133" t="str">
            <v>X23938214</v>
          </cell>
          <cell r="C133" t="str">
            <v>Guess</v>
          </cell>
          <cell r="D133" t="str">
            <v>% Off</v>
          </cell>
          <cell r="E133">
            <v>46023</v>
          </cell>
          <cell r="F133" t="str">
            <v>31/12/2026</v>
          </cell>
          <cell r="G133" t="str">
            <v>2026 YAHALA Card - Dubai Offers</v>
          </cell>
          <cell r="H133" t="str">
            <v>a0CTi00005KB3kpMAD</v>
          </cell>
          <cell r="I133" t="str">
            <v>L26DBYACA</v>
          </cell>
          <cell r="J133" t="str">
            <v>Active</v>
          </cell>
          <cell r="K133">
            <v>45995</v>
          </cell>
          <cell r="L133" t="str">
            <v>Dubai</v>
          </cell>
        </row>
        <row r="134">
          <cell r="A134" t="str">
            <v>X23942875</v>
          </cell>
          <cell r="C134" t="str">
            <v>Alpina - Ahmed Seddiqi &amp; Sons</v>
          </cell>
          <cell r="D134" t="str">
            <v>% Off</v>
          </cell>
          <cell r="E134">
            <v>46023</v>
          </cell>
          <cell r="F134" t="str">
            <v>31/12/2026</v>
          </cell>
          <cell r="G134" t="str">
            <v>2026 YAHALA Card - Dubai Offers</v>
          </cell>
          <cell r="H134" t="str">
            <v>a0CTi00005KB3kpMAD</v>
          </cell>
          <cell r="I134" t="str">
            <v>L26DBYACA</v>
          </cell>
          <cell r="J134" t="str">
            <v>Active</v>
          </cell>
          <cell r="K134">
            <v>45995</v>
          </cell>
          <cell r="L134" t="str">
            <v>Dubai</v>
          </cell>
        </row>
        <row r="135">
          <cell r="A135" t="str">
            <v>X23881377</v>
          </cell>
          <cell r="C135" t="str">
            <v>Armani/Galleria</v>
          </cell>
          <cell r="D135" t="str">
            <v>% Off</v>
          </cell>
          <cell r="E135">
            <v>46023</v>
          </cell>
          <cell r="F135" t="str">
            <v>31/12/2026</v>
          </cell>
          <cell r="G135" t="str">
            <v>2026 YAHALA Card - Dubai Offers</v>
          </cell>
          <cell r="H135" t="str">
            <v>a0CTi00005KB3kpMAD</v>
          </cell>
          <cell r="I135" t="str">
            <v>L26DBYACA</v>
          </cell>
          <cell r="J135" t="str">
            <v>Active</v>
          </cell>
          <cell r="K135">
            <v>45995</v>
          </cell>
          <cell r="L135" t="str">
            <v>Dubai</v>
          </cell>
        </row>
        <row r="136">
          <cell r="A136" t="str">
            <v>X23950521</v>
          </cell>
          <cell r="C136" t="str">
            <v>Adventure Park</v>
          </cell>
          <cell r="D136" t="str">
            <v>% Off</v>
          </cell>
          <cell r="E136">
            <v>46023</v>
          </cell>
          <cell r="F136" t="str">
            <v>31/12/2026</v>
          </cell>
          <cell r="G136" t="str">
            <v>2026 YAHALA Card - Dubai Offers</v>
          </cell>
          <cell r="H136" t="str">
            <v>a0CTi00005KB3kpMAD</v>
          </cell>
          <cell r="I136" t="str">
            <v>L26DBYACA</v>
          </cell>
          <cell r="J136" t="str">
            <v>Active</v>
          </cell>
          <cell r="K136">
            <v>45995</v>
          </cell>
          <cell r="L136" t="str">
            <v>Dubai</v>
          </cell>
        </row>
        <row r="137">
          <cell r="A137" t="str">
            <v>X23909628</v>
          </cell>
          <cell r="C137" t="str">
            <v>Baituti Furniture</v>
          </cell>
          <cell r="D137" t="str">
            <v>% Off</v>
          </cell>
          <cell r="E137">
            <v>46023</v>
          </cell>
          <cell r="F137" t="str">
            <v>31/12/2026</v>
          </cell>
          <cell r="G137" t="str">
            <v>2026 YAHALA Card - Dubai Offers</v>
          </cell>
          <cell r="H137" t="str">
            <v>a0CTi00005KB3kpMAD</v>
          </cell>
          <cell r="I137" t="str">
            <v>L26DBYACA</v>
          </cell>
          <cell r="J137" t="str">
            <v>Active</v>
          </cell>
          <cell r="K137">
            <v>45995</v>
          </cell>
          <cell r="L137" t="str">
            <v>Dubai</v>
          </cell>
        </row>
        <row r="138">
          <cell r="A138" t="str">
            <v>X23240792</v>
          </cell>
          <cell r="C138" t="str">
            <v>Champion Cleaners</v>
          </cell>
          <cell r="D138" t="str">
            <v>% Off</v>
          </cell>
          <cell r="E138">
            <v>46023</v>
          </cell>
          <cell r="F138" t="str">
            <v>31/12/2026</v>
          </cell>
          <cell r="G138" t="str">
            <v>2026 YAHALA Card - Dubai Offers</v>
          </cell>
          <cell r="H138" t="str">
            <v>a0CTi00005KB3kpMAD</v>
          </cell>
          <cell r="I138" t="str">
            <v>L26DBYACA</v>
          </cell>
          <cell r="J138" t="str">
            <v>Active</v>
          </cell>
          <cell r="K138">
            <v>45995</v>
          </cell>
          <cell r="L138" t="str">
            <v>Dubai</v>
          </cell>
        </row>
        <row r="139">
          <cell r="A139" t="str">
            <v>X23938208</v>
          </cell>
          <cell r="C139" t="str">
            <v>Rene Caovilla</v>
          </cell>
          <cell r="D139" t="str">
            <v>% Off</v>
          </cell>
          <cell r="E139">
            <v>46023</v>
          </cell>
          <cell r="F139" t="str">
            <v>31/12/2026</v>
          </cell>
          <cell r="G139" t="str">
            <v>2026 YAHALA Card - Dubai Offers</v>
          </cell>
          <cell r="H139" t="str">
            <v>a0CTi00005KB3kpMAD</v>
          </cell>
          <cell r="I139" t="str">
            <v>L26DBYACA</v>
          </cell>
          <cell r="J139" t="str">
            <v>Active</v>
          </cell>
          <cell r="K139">
            <v>45995</v>
          </cell>
          <cell r="L139" t="str">
            <v>Dubai</v>
          </cell>
        </row>
        <row r="140">
          <cell r="A140" t="str">
            <v>X23945887</v>
          </cell>
          <cell r="C140" t="str">
            <v>Tapasake</v>
          </cell>
          <cell r="D140" t="str">
            <v>% Off</v>
          </cell>
          <cell r="E140">
            <v>46023</v>
          </cell>
          <cell r="F140" t="str">
            <v>31/12/2026</v>
          </cell>
          <cell r="G140" t="str">
            <v>2026 YAHALA Card - Dubai Offers</v>
          </cell>
          <cell r="H140" t="str">
            <v>a0CTi00005KB3kpMAD</v>
          </cell>
          <cell r="I140" t="str">
            <v>L26DBYACA</v>
          </cell>
          <cell r="J140" t="str">
            <v>Active</v>
          </cell>
          <cell r="K140">
            <v>45995</v>
          </cell>
          <cell r="L140" t="str">
            <v>Dubai</v>
          </cell>
        </row>
        <row r="141">
          <cell r="A141" t="str">
            <v>X23934233</v>
          </cell>
          <cell r="C141" t="str">
            <v>The Royal Tea Room</v>
          </cell>
          <cell r="D141" t="str">
            <v>% Off</v>
          </cell>
          <cell r="E141">
            <v>46023</v>
          </cell>
          <cell r="F141" t="str">
            <v>31/12/2026</v>
          </cell>
          <cell r="G141" t="str">
            <v>2026 YAHALA Card - Dubai Offers</v>
          </cell>
          <cell r="H141" t="str">
            <v>a0CTi00005KB3kpMAD</v>
          </cell>
          <cell r="I141" t="str">
            <v>L26DBYACA</v>
          </cell>
          <cell r="J141" t="str">
            <v>Active</v>
          </cell>
          <cell r="K141">
            <v>45995</v>
          </cell>
          <cell r="L141" t="str">
            <v>Dubai</v>
          </cell>
        </row>
        <row r="142">
          <cell r="A142" t="str">
            <v>X035554</v>
          </cell>
          <cell r="C142" t="str">
            <v>Saffron - Atlantis The Palm</v>
          </cell>
          <cell r="D142" t="str">
            <v>% Off</v>
          </cell>
          <cell r="E142">
            <v>46023</v>
          </cell>
          <cell r="F142" t="str">
            <v>31/12/2026</v>
          </cell>
          <cell r="G142" t="str">
            <v>2026 YAHALA Card - Dubai Offers</v>
          </cell>
          <cell r="H142" t="str">
            <v>a0CTi00005KB3kpMAD</v>
          </cell>
          <cell r="I142" t="str">
            <v>L26DBYACA</v>
          </cell>
          <cell r="J142" t="str">
            <v>Active</v>
          </cell>
          <cell r="K142">
            <v>45995</v>
          </cell>
          <cell r="L142" t="str">
            <v>Dubai</v>
          </cell>
        </row>
        <row r="143">
          <cell r="A143" t="str">
            <v>X23880427</v>
          </cell>
          <cell r="C143" t="str">
            <v>Osraty</v>
          </cell>
          <cell r="D143" t="str">
            <v>% Off</v>
          </cell>
          <cell r="E143">
            <v>46023</v>
          </cell>
          <cell r="F143" t="str">
            <v>31/12/2026</v>
          </cell>
          <cell r="G143" t="str">
            <v>2026 YAHALA Card - Dubai Offers</v>
          </cell>
          <cell r="H143" t="str">
            <v>a0CTi00005KB3kpMAD</v>
          </cell>
          <cell r="I143" t="str">
            <v>L26DBYACA</v>
          </cell>
          <cell r="J143" t="str">
            <v>Active</v>
          </cell>
          <cell r="K143">
            <v>45995</v>
          </cell>
          <cell r="L143" t="str">
            <v>Dubai</v>
          </cell>
        </row>
        <row r="144">
          <cell r="A144" t="str">
            <v>X23943135</v>
          </cell>
          <cell r="C144" t="str">
            <v>Armani (Jewellery) - Ahmed Seddiqi &amp; Sons</v>
          </cell>
          <cell r="D144" t="str">
            <v>% Off</v>
          </cell>
          <cell r="E144">
            <v>46023</v>
          </cell>
          <cell r="F144" t="str">
            <v>31/12/2026</v>
          </cell>
          <cell r="G144" t="str">
            <v>2026 YAHALA Card - Dubai Offers</v>
          </cell>
          <cell r="H144" t="str">
            <v>a0CTi00005KB3kpMAD</v>
          </cell>
          <cell r="I144" t="str">
            <v>L26DBYACA</v>
          </cell>
          <cell r="J144" t="str">
            <v>Active</v>
          </cell>
          <cell r="K144">
            <v>45995</v>
          </cell>
          <cell r="L144" t="str">
            <v>Dubai</v>
          </cell>
        </row>
        <row r="145">
          <cell r="A145" t="str">
            <v>X23880978</v>
          </cell>
          <cell r="C145" t="str">
            <v>Jawhara</v>
          </cell>
          <cell r="D145" t="str">
            <v>% Off</v>
          </cell>
          <cell r="E145">
            <v>46023</v>
          </cell>
          <cell r="F145" t="str">
            <v>31/12/2026</v>
          </cell>
          <cell r="G145" t="str">
            <v>2026 YAHALA Card - Dubai Offers</v>
          </cell>
          <cell r="H145" t="str">
            <v>a0CTi00005KB3kpMAD</v>
          </cell>
          <cell r="I145" t="str">
            <v>L26DBYACA</v>
          </cell>
          <cell r="J145" t="str">
            <v>Active</v>
          </cell>
          <cell r="K145">
            <v>45996</v>
          </cell>
          <cell r="L145" t="str">
            <v>Dubai</v>
          </cell>
        </row>
        <row r="146">
          <cell r="A146" t="str">
            <v>X23880978</v>
          </cell>
          <cell r="C146" t="str">
            <v>Jawhara</v>
          </cell>
          <cell r="D146" t="str">
            <v>% Off</v>
          </cell>
          <cell r="E146">
            <v>46023</v>
          </cell>
          <cell r="F146" t="str">
            <v>31/12/2026</v>
          </cell>
          <cell r="G146" t="str">
            <v>2026 YAHALA Card - Dubai Offers</v>
          </cell>
          <cell r="H146" t="str">
            <v>a0CTi00005KB3kpMAD</v>
          </cell>
          <cell r="I146" t="str">
            <v>L26DBYACA</v>
          </cell>
          <cell r="J146" t="str">
            <v>Active</v>
          </cell>
          <cell r="K146">
            <v>45996</v>
          </cell>
          <cell r="L146" t="str">
            <v>Dubai</v>
          </cell>
        </row>
        <row r="147">
          <cell r="A147" t="str">
            <v>X23880978</v>
          </cell>
          <cell r="C147" t="str">
            <v>Jawhara</v>
          </cell>
          <cell r="D147" t="str">
            <v>% Off</v>
          </cell>
          <cell r="E147">
            <v>46023</v>
          </cell>
          <cell r="F147" t="str">
            <v>31/12/2026</v>
          </cell>
          <cell r="G147" t="str">
            <v>2026 YAHALA Card - Dubai Offers</v>
          </cell>
          <cell r="H147" t="str">
            <v>a0CTi00005KB3kpMAD</v>
          </cell>
          <cell r="I147" t="str">
            <v>L26DBYACA</v>
          </cell>
          <cell r="J147" t="str">
            <v>Active</v>
          </cell>
          <cell r="K147">
            <v>45996</v>
          </cell>
          <cell r="L147" t="str">
            <v>Dubai</v>
          </cell>
        </row>
        <row r="148">
          <cell r="A148" t="str">
            <v>X23942872</v>
          </cell>
          <cell r="C148" t="str">
            <v>Doxa - Ahmed Seddiqi &amp; Sons</v>
          </cell>
          <cell r="D148" t="str">
            <v>% Off</v>
          </cell>
          <cell r="E148">
            <v>46023</v>
          </cell>
          <cell r="F148" t="str">
            <v>31/12/2026</v>
          </cell>
          <cell r="G148" t="str">
            <v>2026 YAHALA Card - Dubai Offers</v>
          </cell>
          <cell r="H148" t="str">
            <v>a0CTi00005KB3kpMAD</v>
          </cell>
          <cell r="I148" t="str">
            <v>L26DBYACA</v>
          </cell>
          <cell r="J148" t="str">
            <v>Active</v>
          </cell>
          <cell r="K148">
            <v>45996</v>
          </cell>
          <cell r="L148" t="str">
            <v>Dubai</v>
          </cell>
        </row>
        <row r="149">
          <cell r="A149" t="str">
            <v>X23945888</v>
          </cell>
          <cell r="C149" t="str">
            <v>StreetXO</v>
          </cell>
          <cell r="D149" t="str">
            <v>% Off</v>
          </cell>
          <cell r="E149">
            <v>46023</v>
          </cell>
          <cell r="F149" t="str">
            <v>31/12/2026</v>
          </cell>
          <cell r="G149" t="str">
            <v>2026 YAHALA Card - Dubai Offers</v>
          </cell>
          <cell r="H149" t="str">
            <v>a0CTi00005KB3kpMAD</v>
          </cell>
          <cell r="I149" t="str">
            <v>L26DBYACA</v>
          </cell>
          <cell r="J149" t="str">
            <v>Active</v>
          </cell>
          <cell r="K149">
            <v>45996</v>
          </cell>
          <cell r="L149" t="str">
            <v>Dubai</v>
          </cell>
        </row>
        <row r="150">
          <cell r="A150" t="str">
            <v>X23934227</v>
          </cell>
          <cell r="C150" t="str">
            <v>White Restaurant</v>
          </cell>
          <cell r="D150" t="str">
            <v>% Off</v>
          </cell>
          <cell r="E150">
            <v>46023</v>
          </cell>
          <cell r="F150" t="str">
            <v>31/12/2026</v>
          </cell>
          <cell r="G150" t="str">
            <v>2026 YAHALA Card - Dubai Offers</v>
          </cell>
          <cell r="H150" t="str">
            <v>a0CTi00005KB3kpMAD</v>
          </cell>
          <cell r="I150" t="str">
            <v>L26DBYACA</v>
          </cell>
          <cell r="J150" t="str">
            <v>Active</v>
          </cell>
          <cell r="K150">
            <v>45996</v>
          </cell>
          <cell r="L150" t="str">
            <v>Dubai</v>
          </cell>
        </row>
        <row r="151">
          <cell r="A151" t="str">
            <v>X23880978</v>
          </cell>
          <cell r="C151" t="str">
            <v>Jawhara</v>
          </cell>
          <cell r="D151" t="str">
            <v>% Off</v>
          </cell>
          <cell r="E151">
            <v>46023</v>
          </cell>
          <cell r="F151" t="str">
            <v>31/12/2026</v>
          </cell>
          <cell r="G151" t="str">
            <v>2026 YAHALA Card - Dubai Offers</v>
          </cell>
          <cell r="H151" t="str">
            <v>a0CTi00005KB3kpMAD</v>
          </cell>
          <cell r="I151" t="str">
            <v>L26DBYACA</v>
          </cell>
          <cell r="J151" t="str">
            <v>Active</v>
          </cell>
          <cell r="K151">
            <v>45996</v>
          </cell>
          <cell r="L151" t="str">
            <v>Dubai</v>
          </cell>
        </row>
        <row r="152">
          <cell r="A152" t="str">
            <v>X23880978</v>
          </cell>
          <cell r="C152" t="str">
            <v>Jawhara</v>
          </cell>
          <cell r="D152" t="str">
            <v>% Off</v>
          </cell>
          <cell r="E152">
            <v>46023</v>
          </cell>
          <cell r="F152" t="str">
            <v>31/12/2026</v>
          </cell>
          <cell r="G152" t="str">
            <v>2026 YAHALA Card - Dubai Offers</v>
          </cell>
          <cell r="H152" t="str">
            <v>a0CTi00005KB3kpMAD</v>
          </cell>
          <cell r="I152" t="str">
            <v>L26DBYACA</v>
          </cell>
          <cell r="J152" t="str">
            <v>Active</v>
          </cell>
          <cell r="K152">
            <v>45996</v>
          </cell>
          <cell r="L152" t="str">
            <v>Dubai</v>
          </cell>
        </row>
        <row r="153">
          <cell r="A153" t="str">
            <v>X23880978</v>
          </cell>
          <cell r="C153" t="str">
            <v>Jawhara</v>
          </cell>
          <cell r="D153" t="str">
            <v>% Off</v>
          </cell>
          <cell r="E153">
            <v>46023</v>
          </cell>
          <cell r="F153" t="str">
            <v>31/12/2026</v>
          </cell>
          <cell r="G153" t="str">
            <v>2026 YAHALA Card - Dubai Offers</v>
          </cell>
          <cell r="H153" t="str">
            <v>a0CTi00005KB3kpMAD</v>
          </cell>
          <cell r="I153" t="str">
            <v>L26DBYACA</v>
          </cell>
          <cell r="J153" t="str">
            <v>Active</v>
          </cell>
          <cell r="K153">
            <v>45996</v>
          </cell>
          <cell r="L153" t="str">
            <v>Dubai</v>
          </cell>
        </row>
        <row r="154">
          <cell r="A154" t="str">
            <v>X23942105</v>
          </cell>
          <cell r="C154" t="str">
            <v>Oris - Ahmed Seddiqi &amp; Sons</v>
          </cell>
          <cell r="D154" t="str">
            <v>% Off</v>
          </cell>
          <cell r="E154">
            <v>46023</v>
          </cell>
          <cell r="F154" t="str">
            <v>31/12/2026</v>
          </cell>
          <cell r="G154" t="str">
            <v>2026 YAHALA Card - Dubai Offers</v>
          </cell>
          <cell r="H154" t="str">
            <v>a0CTi00005KB3kpMAD</v>
          </cell>
          <cell r="I154" t="str">
            <v>L26DBYACA</v>
          </cell>
          <cell r="J154" t="str">
            <v>Active</v>
          </cell>
          <cell r="K154">
            <v>45996</v>
          </cell>
          <cell r="L154" t="str">
            <v>Dubai</v>
          </cell>
        </row>
        <row r="155">
          <cell r="A155" t="str">
            <v>X23880455</v>
          </cell>
          <cell r="C155" t="str">
            <v>Tag Heuer</v>
          </cell>
          <cell r="D155" t="str">
            <v>% Off</v>
          </cell>
          <cell r="E155">
            <v>46023</v>
          </cell>
          <cell r="F155" t="str">
            <v>31/12/2026</v>
          </cell>
          <cell r="G155" t="str">
            <v>2026 YAHALA Card - Dubai Offers</v>
          </cell>
          <cell r="H155" t="str">
            <v>a0CTi00005KB3kpMAD</v>
          </cell>
          <cell r="I155" t="str">
            <v>L26DBYACA</v>
          </cell>
          <cell r="J155" t="str">
            <v>Active</v>
          </cell>
          <cell r="K155">
            <v>45996</v>
          </cell>
          <cell r="L155" t="str">
            <v>Dubai</v>
          </cell>
        </row>
        <row r="156">
          <cell r="A156" t="str">
            <v>X23938231</v>
          </cell>
          <cell r="C156" t="str">
            <v>Bobbi Brown</v>
          </cell>
          <cell r="D156" t="str">
            <v>% Off</v>
          </cell>
          <cell r="E156">
            <v>46023</v>
          </cell>
          <cell r="F156" t="str">
            <v>31/12/2026</v>
          </cell>
          <cell r="G156" t="str">
            <v>2026 YAHALA Card - Dubai Offers</v>
          </cell>
          <cell r="H156" t="str">
            <v>a0CTi00005KB3kpMAD</v>
          </cell>
          <cell r="I156" t="str">
            <v>L26DBYACA</v>
          </cell>
          <cell r="J156" t="str">
            <v>Active</v>
          </cell>
          <cell r="K156">
            <v>45996</v>
          </cell>
          <cell r="L156" t="str">
            <v>Dubai</v>
          </cell>
        </row>
        <row r="157">
          <cell r="A157" t="str">
            <v>X23950059</v>
          </cell>
          <cell r="C157" t="str">
            <v>L' Occitane Cafe</v>
          </cell>
          <cell r="D157" t="str">
            <v>% Off</v>
          </cell>
          <cell r="E157">
            <v>46023</v>
          </cell>
          <cell r="F157" t="str">
            <v>31/12/2026</v>
          </cell>
          <cell r="G157" t="str">
            <v>2026 YAHALA Card - Dubai Offers</v>
          </cell>
          <cell r="H157" t="str">
            <v>a0CTi00005KB3kpMAD</v>
          </cell>
          <cell r="I157" t="str">
            <v>L26DBYACA</v>
          </cell>
          <cell r="J157" t="str">
            <v>Active</v>
          </cell>
          <cell r="K157">
            <v>45996</v>
          </cell>
          <cell r="L157" t="str">
            <v>Dubai</v>
          </cell>
        </row>
        <row r="158">
          <cell r="A158" t="str">
            <v>X23938229</v>
          </cell>
          <cell r="C158" t="str">
            <v>Kilian</v>
          </cell>
          <cell r="D158" t="str">
            <v>% Off</v>
          </cell>
          <cell r="E158">
            <v>46023</v>
          </cell>
          <cell r="F158" t="str">
            <v>31/12/2026</v>
          </cell>
          <cell r="G158" t="str">
            <v>2026 YAHALA Card - Dubai Offers</v>
          </cell>
          <cell r="H158" t="str">
            <v>a0CTi00005KB3kpMAD</v>
          </cell>
          <cell r="I158" t="str">
            <v>L26DBYACA</v>
          </cell>
          <cell r="J158" t="str">
            <v>Active</v>
          </cell>
          <cell r="K158">
            <v>45996</v>
          </cell>
          <cell r="L158" t="str">
            <v>Dubai</v>
          </cell>
        </row>
        <row r="159">
          <cell r="A159" t="str">
            <v>X23934225</v>
          </cell>
          <cell r="C159" t="str">
            <v>Hakkasan</v>
          </cell>
          <cell r="D159" t="str">
            <v>% Off</v>
          </cell>
          <cell r="E159">
            <v>46023</v>
          </cell>
          <cell r="F159" t="str">
            <v>31/12/2026</v>
          </cell>
          <cell r="G159" t="str">
            <v>2026 YAHALA Card - Dubai Offers</v>
          </cell>
          <cell r="H159" t="str">
            <v>a0CTi00005KB3kpMAD</v>
          </cell>
          <cell r="I159" t="str">
            <v>L26DBYACA</v>
          </cell>
          <cell r="J159" t="str">
            <v>Active</v>
          </cell>
          <cell r="K159">
            <v>45996</v>
          </cell>
          <cell r="L159" t="str">
            <v>Dubai</v>
          </cell>
        </row>
        <row r="160">
          <cell r="A160" t="str">
            <v>X23942871</v>
          </cell>
          <cell r="C160" t="str">
            <v>RESERVOIR - Ahmed Seddiqi &amp; Sons</v>
          </cell>
          <cell r="D160" t="str">
            <v>% Off</v>
          </cell>
          <cell r="E160">
            <v>46023</v>
          </cell>
          <cell r="F160" t="str">
            <v>31/12/2026</v>
          </cell>
          <cell r="G160" t="str">
            <v>2026 YAHALA Card - Dubai Offers</v>
          </cell>
          <cell r="H160" t="str">
            <v>a0CTi00005KB3kpMAD</v>
          </cell>
          <cell r="I160" t="str">
            <v>L26DBYACA</v>
          </cell>
          <cell r="J160" t="str">
            <v>Active</v>
          </cell>
          <cell r="K160">
            <v>45996</v>
          </cell>
          <cell r="L160" t="str">
            <v>Dubai</v>
          </cell>
        </row>
        <row r="161">
          <cell r="A161" t="str">
            <v>X23880433</v>
          </cell>
          <cell r="C161" t="str">
            <v>N.Bar</v>
          </cell>
          <cell r="D161" t="str">
            <v>% Off</v>
          </cell>
          <cell r="E161">
            <v>46023</v>
          </cell>
          <cell r="F161" t="str">
            <v>31/12/2026</v>
          </cell>
          <cell r="G161" t="str">
            <v>2026 YAHALA Card - Dubai Offers</v>
          </cell>
          <cell r="H161" t="str">
            <v>a0CTi00005KB3kpMAD</v>
          </cell>
          <cell r="I161" t="str">
            <v>L26DBYACA</v>
          </cell>
          <cell r="J161" t="str">
            <v>Active</v>
          </cell>
          <cell r="K161">
            <v>45996</v>
          </cell>
          <cell r="L161" t="str">
            <v>Dubai</v>
          </cell>
        </row>
        <row r="162">
          <cell r="A162" t="str">
            <v>X23890036</v>
          </cell>
          <cell r="C162" t="str">
            <v>Grand Service Station</v>
          </cell>
          <cell r="D162" t="str">
            <v>% Off</v>
          </cell>
          <cell r="E162">
            <v>46023</v>
          </cell>
          <cell r="F162" t="str">
            <v>31/12/2026</v>
          </cell>
          <cell r="G162" t="str">
            <v>2026 YAHALA Card - Dubai Offers</v>
          </cell>
          <cell r="H162" t="str">
            <v>a0CTi00005KB3kpMAD</v>
          </cell>
          <cell r="I162" t="str">
            <v>L26DBYACA</v>
          </cell>
          <cell r="J162" t="str">
            <v>Active</v>
          </cell>
          <cell r="K162">
            <v>45996</v>
          </cell>
          <cell r="L162" t="str">
            <v>Dubai</v>
          </cell>
        </row>
        <row r="163">
          <cell r="A163" t="str">
            <v>X23890036</v>
          </cell>
          <cell r="C163" t="str">
            <v>Grand Service Station</v>
          </cell>
          <cell r="D163" t="str">
            <v>% Off</v>
          </cell>
          <cell r="E163">
            <v>46023</v>
          </cell>
          <cell r="F163" t="str">
            <v>31/12/2026</v>
          </cell>
          <cell r="G163" t="str">
            <v>2026 YAHALA Card - Dubai Offers</v>
          </cell>
          <cell r="H163" t="str">
            <v>a0CTi00005KB3kpMAD</v>
          </cell>
          <cell r="I163" t="str">
            <v>L26DBYACA</v>
          </cell>
          <cell r="J163" t="str">
            <v>Active</v>
          </cell>
          <cell r="K163">
            <v>45996</v>
          </cell>
          <cell r="L163" t="str">
            <v>Dubai</v>
          </cell>
        </row>
        <row r="164">
          <cell r="A164" t="str">
            <v>X23890036</v>
          </cell>
          <cell r="C164" t="str">
            <v>Grand Service Station</v>
          </cell>
          <cell r="D164" t="str">
            <v>% Off</v>
          </cell>
          <cell r="E164">
            <v>46023</v>
          </cell>
          <cell r="F164" t="str">
            <v>31/12/2026</v>
          </cell>
          <cell r="G164" t="str">
            <v>2026 YAHALA Card - Dubai Offers</v>
          </cell>
          <cell r="H164" t="str">
            <v>a0CTi00005KB3kpMAD</v>
          </cell>
          <cell r="I164" t="str">
            <v>L26DBYACA</v>
          </cell>
          <cell r="J164" t="str">
            <v>Active</v>
          </cell>
          <cell r="K164">
            <v>45996</v>
          </cell>
          <cell r="L164" t="str">
            <v>Dubai</v>
          </cell>
        </row>
        <row r="165">
          <cell r="A165" t="str">
            <v>X23943137</v>
          </cell>
          <cell r="C165" t="str">
            <v>Bold By Movado - Ahmed Seddiqi &amp; Sons</v>
          </cell>
          <cell r="D165" t="str">
            <v>% Off</v>
          </cell>
          <cell r="E165">
            <v>46023</v>
          </cell>
          <cell r="F165" t="str">
            <v>31/12/2026</v>
          </cell>
          <cell r="G165" t="str">
            <v>2026 YAHALA Card - Dubai Offers</v>
          </cell>
          <cell r="H165" t="str">
            <v>a0CTi00005KB3kpMAD</v>
          </cell>
          <cell r="I165" t="str">
            <v>L26DBYACA</v>
          </cell>
          <cell r="J165" t="str">
            <v>Active</v>
          </cell>
          <cell r="K165">
            <v>45996</v>
          </cell>
          <cell r="L165" t="str">
            <v>Dubai</v>
          </cell>
        </row>
        <row r="166">
          <cell r="A166" t="str">
            <v>X23942102</v>
          </cell>
          <cell r="C166" t="str">
            <v>S.T. Dupont - Ahmed Seddiqi &amp; Sons</v>
          </cell>
          <cell r="D166" t="str">
            <v>% Off</v>
          </cell>
          <cell r="E166">
            <v>46023</v>
          </cell>
          <cell r="F166" t="str">
            <v>31/12/2026</v>
          </cell>
          <cell r="G166" t="str">
            <v>2026 YAHALA Card - Dubai Offers</v>
          </cell>
          <cell r="H166" t="str">
            <v>a0CTi00005KB3kpMAD</v>
          </cell>
          <cell r="I166" t="str">
            <v>L26DBYACA</v>
          </cell>
          <cell r="J166" t="str">
            <v>Active</v>
          </cell>
          <cell r="K166">
            <v>45996</v>
          </cell>
          <cell r="L166" t="str">
            <v>Dubai</v>
          </cell>
        </row>
        <row r="167">
          <cell r="A167" t="str">
            <v>X23946450</v>
          </cell>
          <cell r="C167" t="str">
            <v>Adidas - Ahmed Seddiqi &amp; Sons</v>
          </cell>
          <cell r="D167" t="str">
            <v>% Off</v>
          </cell>
          <cell r="E167">
            <v>46023</v>
          </cell>
          <cell r="F167" t="str">
            <v>31/12/2026</v>
          </cell>
          <cell r="G167" t="str">
            <v>2026 YAHALA Card - Dubai Offers</v>
          </cell>
          <cell r="H167" t="str">
            <v>a0CTi00005KB3kpMAD</v>
          </cell>
          <cell r="I167" t="str">
            <v>L26DBYACA</v>
          </cell>
          <cell r="J167" t="str">
            <v>Active</v>
          </cell>
          <cell r="K167">
            <v>45996</v>
          </cell>
          <cell r="L167" t="str">
            <v>Dubai</v>
          </cell>
        </row>
        <row r="168">
          <cell r="A168" t="str">
            <v>X23880287</v>
          </cell>
          <cell r="C168" t="str">
            <v>Khan Murjan</v>
          </cell>
          <cell r="D168" t="str">
            <v>% Off</v>
          </cell>
          <cell r="E168">
            <v>46023</v>
          </cell>
          <cell r="F168" t="str">
            <v>31/12/2026</v>
          </cell>
          <cell r="G168" t="str">
            <v>2026 YAHALA Card - Dubai Offers</v>
          </cell>
          <cell r="H168" t="str">
            <v>a0CTi00005KB3kpMAD</v>
          </cell>
          <cell r="I168" t="str">
            <v>L26DBYACA</v>
          </cell>
          <cell r="J168" t="str">
            <v>Active</v>
          </cell>
          <cell r="K168">
            <v>45996</v>
          </cell>
          <cell r="L168" t="str">
            <v>Dubai</v>
          </cell>
        </row>
        <row r="169">
          <cell r="A169" t="str">
            <v>X23955290</v>
          </cell>
          <cell r="C169" t="str">
            <v>Sah el Nom</v>
          </cell>
          <cell r="D169" t="str">
            <v>% Off</v>
          </cell>
          <cell r="E169">
            <v>46023</v>
          </cell>
          <cell r="F169" t="str">
            <v>31/12/2026</v>
          </cell>
          <cell r="G169" t="str">
            <v>2026 YAHALA Card - Dubai Offers</v>
          </cell>
          <cell r="H169" t="str">
            <v>a0CTi00005KB3kpMAD</v>
          </cell>
          <cell r="I169" t="str">
            <v>L26DBYACA</v>
          </cell>
          <cell r="J169" t="str">
            <v>Active</v>
          </cell>
          <cell r="K169">
            <v>45996</v>
          </cell>
          <cell r="L169" t="str">
            <v>Dubai</v>
          </cell>
        </row>
        <row r="170">
          <cell r="A170" t="str">
            <v>X23944016</v>
          </cell>
          <cell r="C170" t="str">
            <v>Mouawad</v>
          </cell>
          <cell r="D170" t="str">
            <v>% Off</v>
          </cell>
          <cell r="E170">
            <v>46023</v>
          </cell>
          <cell r="F170" t="str">
            <v>31/12/2026</v>
          </cell>
          <cell r="G170" t="str">
            <v>2026 YAHALA Card - Dubai Offers</v>
          </cell>
          <cell r="H170" t="str">
            <v>a0CTi00005KB3kpMAD</v>
          </cell>
          <cell r="I170" t="str">
            <v>L26DBYACA</v>
          </cell>
          <cell r="J170" t="str">
            <v>Active</v>
          </cell>
          <cell r="K170">
            <v>45996</v>
          </cell>
          <cell r="L170" t="str">
            <v>Dubai</v>
          </cell>
        </row>
        <row r="171">
          <cell r="A171" t="str">
            <v>X23865132</v>
          </cell>
          <cell r="C171" t="str">
            <v>Reel Cinemas</v>
          </cell>
          <cell r="D171" t="str">
            <v>% Off</v>
          </cell>
          <cell r="E171">
            <v>46023</v>
          </cell>
          <cell r="F171" t="str">
            <v>31/12/2026</v>
          </cell>
          <cell r="G171" t="str">
            <v>2026 YAHALA Card - Dubai Offers</v>
          </cell>
          <cell r="H171" t="str">
            <v>a0CTi00005KB3kpMAD</v>
          </cell>
          <cell r="I171" t="str">
            <v>L26DBYACA</v>
          </cell>
          <cell r="J171" t="str">
            <v>Active</v>
          </cell>
          <cell r="K171">
            <v>45996</v>
          </cell>
          <cell r="L171" t="str">
            <v>Dubai</v>
          </cell>
        </row>
        <row r="172">
          <cell r="A172" t="str">
            <v>X23933882</v>
          </cell>
          <cell r="C172" t="str">
            <v>Armani Exchange</v>
          </cell>
          <cell r="D172" t="str">
            <v>% Off</v>
          </cell>
          <cell r="E172">
            <v>46023</v>
          </cell>
          <cell r="F172" t="str">
            <v>31/12/2026</v>
          </cell>
          <cell r="G172" t="str">
            <v>2026 YAHALA Card - Dubai Offers</v>
          </cell>
          <cell r="H172" t="str">
            <v>a0CTi00005KB3kpMAD</v>
          </cell>
          <cell r="I172" t="str">
            <v>L26DBYACA</v>
          </cell>
          <cell r="J172" t="str">
            <v>Active</v>
          </cell>
          <cell r="K172">
            <v>45996</v>
          </cell>
          <cell r="L172" t="str">
            <v>Dubai</v>
          </cell>
        </row>
        <row r="173">
          <cell r="A173" t="str">
            <v>X23891892</v>
          </cell>
          <cell r="C173" t="str">
            <v>Dollie Sisters Ladies Salon</v>
          </cell>
          <cell r="D173" t="str">
            <v>% Off</v>
          </cell>
          <cell r="E173">
            <v>46023</v>
          </cell>
          <cell r="F173" t="str">
            <v>31/12/2026</v>
          </cell>
          <cell r="G173" t="str">
            <v>2026 YAHALA Card - Dubai Offers</v>
          </cell>
          <cell r="H173" t="str">
            <v>a0CTi00005KB3kpMAD</v>
          </cell>
          <cell r="I173" t="str">
            <v>L26DBYACA</v>
          </cell>
          <cell r="J173" t="str">
            <v>Active</v>
          </cell>
          <cell r="K173">
            <v>45996</v>
          </cell>
          <cell r="L173" t="str">
            <v>Dubai</v>
          </cell>
        </row>
        <row r="174">
          <cell r="A174" t="str">
            <v>X23881328</v>
          </cell>
          <cell r="C174" t="str">
            <v>Interiors</v>
          </cell>
          <cell r="D174" t="str">
            <v>% Off</v>
          </cell>
          <cell r="E174">
            <v>46023</v>
          </cell>
          <cell r="F174" t="str">
            <v>31/12/2026</v>
          </cell>
          <cell r="G174" t="str">
            <v>2026 YAHALA Card - Dubai Offers</v>
          </cell>
          <cell r="H174" t="str">
            <v>a0CTi00005KB3kpMAD</v>
          </cell>
          <cell r="I174" t="str">
            <v>L26DBYACA</v>
          </cell>
          <cell r="J174" t="str">
            <v>Active</v>
          </cell>
          <cell r="K174">
            <v>45996</v>
          </cell>
          <cell r="L174" t="str">
            <v>Dubai</v>
          </cell>
        </row>
        <row r="175">
          <cell r="A175" t="str">
            <v>X23938230</v>
          </cell>
          <cell r="C175" t="str">
            <v>Frederic Malle</v>
          </cell>
          <cell r="D175" t="str">
            <v>% Off</v>
          </cell>
          <cell r="E175">
            <v>46023</v>
          </cell>
          <cell r="F175" t="str">
            <v>31/12/2026</v>
          </cell>
          <cell r="G175" t="str">
            <v>2026 YAHALA Card - Dubai Offers</v>
          </cell>
          <cell r="H175" t="str">
            <v>a0CTi00005KB3kpMAD</v>
          </cell>
          <cell r="I175" t="str">
            <v>L26DBYACA</v>
          </cell>
          <cell r="J175" t="str">
            <v>Active</v>
          </cell>
          <cell r="K175">
            <v>45996</v>
          </cell>
          <cell r="L175" t="str">
            <v>Dubai</v>
          </cell>
        </row>
        <row r="176">
          <cell r="A176" t="str">
            <v>X23909773</v>
          </cell>
          <cell r="C176" t="str">
            <v>Sisters Beauty Lounge - Dubai</v>
          </cell>
          <cell r="D176" t="str">
            <v>% Off</v>
          </cell>
          <cell r="E176">
            <v>46023</v>
          </cell>
          <cell r="F176" t="str">
            <v>31/12/2026</v>
          </cell>
          <cell r="G176" t="str">
            <v>2026 YAHALA Card - Dubai Offers</v>
          </cell>
          <cell r="H176" t="str">
            <v>a0CTi00005KB3kpMAD</v>
          </cell>
          <cell r="I176" t="str">
            <v>L26DBYACA</v>
          </cell>
          <cell r="J176" t="str">
            <v>Active</v>
          </cell>
          <cell r="K176">
            <v>45996</v>
          </cell>
          <cell r="L176" t="str">
            <v>Dubai</v>
          </cell>
        </row>
        <row r="177">
          <cell r="A177" t="str">
            <v>X035555</v>
          </cell>
          <cell r="C177" t="str">
            <v>Seafire</v>
          </cell>
          <cell r="D177" t="str">
            <v>% Off</v>
          </cell>
          <cell r="E177">
            <v>46023</v>
          </cell>
          <cell r="F177" t="str">
            <v>31/12/2026</v>
          </cell>
          <cell r="G177" t="str">
            <v>2026 YAHALA Card - Dubai Offers</v>
          </cell>
          <cell r="H177" t="str">
            <v>a0CTi00005KB3kpMAD</v>
          </cell>
          <cell r="I177" t="str">
            <v>L26DBYACA</v>
          </cell>
          <cell r="J177" t="str">
            <v>Active</v>
          </cell>
          <cell r="K177">
            <v>45996</v>
          </cell>
          <cell r="L177" t="str">
            <v>Dubai</v>
          </cell>
        </row>
        <row r="178">
          <cell r="A178" t="str">
            <v>X23947382</v>
          </cell>
          <cell r="C178" t="str">
            <v>Mizu Restaurant</v>
          </cell>
          <cell r="D178" t="str">
            <v>% Off</v>
          </cell>
          <cell r="E178">
            <v>46023</v>
          </cell>
          <cell r="F178" t="str">
            <v>31/12/2026</v>
          </cell>
          <cell r="G178" t="str">
            <v>2026 YAHALA Card - Dubai Offers</v>
          </cell>
          <cell r="H178" t="str">
            <v>a0CTi00005KB3kpMAD</v>
          </cell>
          <cell r="I178" t="str">
            <v>L26DBYACA</v>
          </cell>
          <cell r="J178" t="str">
            <v>Active</v>
          </cell>
          <cell r="K178">
            <v>45996</v>
          </cell>
          <cell r="L178" t="str">
            <v>Dubai</v>
          </cell>
        </row>
        <row r="179">
          <cell r="A179" t="str">
            <v>X23947382</v>
          </cell>
          <cell r="C179" t="str">
            <v>Mizu Restaurant</v>
          </cell>
          <cell r="D179" t="str">
            <v>% Off</v>
          </cell>
          <cell r="E179">
            <v>46023</v>
          </cell>
          <cell r="F179" t="str">
            <v>31/12/2026</v>
          </cell>
          <cell r="G179" t="str">
            <v>2026 YAHALA Card - Dubai Offers</v>
          </cell>
          <cell r="H179" t="str">
            <v>a0CTi00005KB3kpMAD</v>
          </cell>
          <cell r="I179" t="str">
            <v>L26DBYACA</v>
          </cell>
          <cell r="J179" t="str">
            <v>Active</v>
          </cell>
          <cell r="K179">
            <v>45996</v>
          </cell>
          <cell r="L179" t="str">
            <v>Dubai</v>
          </cell>
        </row>
        <row r="180">
          <cell r="A180" t="str">
            <v>X23895495</v>
          </cell>
          <cell r="C180" t="str">
            <v>Human Relations Institute &amp; Clinics</v>
          </cell>
          <cell r="D180" t="str">
            <v>% Off</v>
          </cell>
          <cell r="E180">
            <v>46023</v>
          </cell>
          <cell r="F180" t="str">
            <v>31/12/2026</v>
          </cell>
          <cell r="G180" t="str">
            <v>2026 YAHALA Card - Dubai Offers</v>
          </cell>
          <cell r="H180" t="str">
            <v>a0CTi00005KB3kpMAD</v>
          </cell>
          <cell r="I180" t="str">
            <v>L26DBYACA</v>
          </cell>
          <cell r="J180" t="str">
            <v>Active</v>
          </cell>
          <cell r="K180">
            <v>45996</v>
          </cell>
          <cell r="L180" t="str">
            <v>Dubai</v>
          </cell>
        </row>
        <row r="181">
          <cell r="A181" t="str">
            <v>X23953652</v>
          </cell>
          <cell r="C181" t="str">
            <v>STUDIO FRANTZEN</v>
          </cell>
          <cell r="D181" t="str">
            <v>% Off</v>
          </cell>
          <cell r="E181">
            <v>46023</v>
          </cell>
          <cell r="F181" t="str">
            <v>31/12/2026</v>
          </cell>
          <cell r="G181" t="str">
            <v>2026 YAHALA Card - Dubai Offers</v>
          </cell>
          <cell r="H181" t="str">
            <v>a0CTi00005KB3kpMAD</v>
          </cell>
          <cell r="I181" t="str">
            <v>L26DBYACA</v>
          </cell>
          <cell r="J181" t="str">
            <v>Active</v>
          </cell>
          <cell r="K181">
            <v>45996</v>
          </cell>
          <cell r="L181" t="str">
            <v>Dubai</v>
          </cell>
        </row>
        <row r="182">
          <cell r="A182" t="str">
            <v>X23934224</v>
          </cell>
          <cell r="C182" t="str">
            <v>Street Pizza</v>
          </cell>
          <cell r="D182" t="str">
            <v>% Off</v>
          </cell>
          <cell r="E182">
            <v>46023</v>
          </cell>
          <cell r="F182" t="str">
            <v>31/12/2026</v>
          </cell>
          <cell r="G182" t="str">
            <v>2026 YAHALA Card - Dubai Offers</v>
          </cell>
          <cell r="H182" t="str">
            <v>a0CTi00005KB3kpMAD</v>
          </cell>
          <cell r="I182" t="str">
            <v>L26DBYACA</v>
          </cell>
          <cell r="J182" t="str">
            <v>Active</v>
          </cell>
          <cell r="K182">
            <v>45996</v>
          </cell>
          <cell r="L182" t="str">
            <v>Dubai</v>
          </cell>
        </row>
        <row r="183">
          <cell r="A183" t="str">
            <v>X23888595</v>
          </cell>
          <cell r="C183" t="str">
            <v>Alici</v>
          </cell>
          <cell r="D183" t="str">
            <v>% Off</v>
          </cell>
          <cell r="E183">
            <v>46023</v>
          </cell>
          <cell r="F183" t="str">
            <v>31/12/2026</v>
          </cell>
          <cell r="G183" t="str">
            <v>2026 YAHALA Card - Dubai Offers</v>
          </cell>
          <cell r="H183" t="str">
            <v>a0CTi00005KB3kpMAD</v>
          </cell>
          <cell r="I183" t="str">
            <v>L26DBYACA</v>
          </cell>
          <cell r="J183" t="str">
            <v>Active</v>
          </cell>
          <cell r="K183">
            <v>45996</v>
          </cell>
          <cell r="L183" t="str">
            <v>Dubai</v>
          </cell>
        </row>
        <row r="184">
          <cell r="A184" t="str">
            <v>X23880460</v>
          </cell>
          <cell r="C184" t="str">
            <v>Bomberg - Ahmed Seddiqi &amp; Sons</v>
          </cell>
          <cell r="D184" t="str">
            <v>% Off</v>
          </cell>
          <cell r="E184">
            <v>46023</v>
          </cell>
          <cell r="F184" t="str">
            <v>31/12/2026</v>
          </cell>
          <cell r="G184" t="str">
            <v>2026 YAHALA Card - Dubai Offers</v>
          </cell>
          <cell r="H184" t="str">
            <v>a0CTi00005KB3kpMAD</v>
          </cell>
          <cell r="I184" t="str">
            <v>L26DBYACA</v>
          </cell>
          <cell r="J184" t="str">
            <v>Active</v>
          </cell>
          <cell r="K184">
            <v>45996</v>
          </cell>
          <cell r="L184" t="str">
            <v>Dubai</v>
          </cell>
        </row>
        <row r="185">
          <cell r="A185" t="str">
            <v>X23953431</v>
          </cell>
          <cell r="C185" t="str">
            <v>Noon Food</v>
          </cell>
          <cell r="D185" t="str">
            <v>% Off</v>
          </cell>
          <cell r="E185">
            <v>46023</v>
          </cell>
          <cell r="F185" t="str">
            <v>31/12/2026</v>
          </cell>
          <cell r="G185" t="str">
            <v>2026 YAHALA Card - Dubai Offers</v>
          </cell>
          <cell r="H185" t="str">
            <v>a0CTi00005KB3kpMAD</v>
          </cell>
          <cell r="I185" t="str">
            <v>L26DBYACA</v>
          </cell>
          <cell r="J185" t="str">
            <v>Active</v>
          </cell>
          <cell r="K185">
            <v>45996</v>
          </cell>
          <cell r="L185" t="str">
            <v>Dubai</v>
          </cell>
        </row>
        <row r="186">
          <cell r="A186" t="str">
            <v>X23953431</v>
          </cell>
          <cell r="C186" t="str">
            <v>Noon Food</v>
          </cell>
          <cell r="D186" t="str">
            <v>% Off</v>
          </cell>
          <cell r="E186">
            <v>46023</v>
          </cell>
          <cell r="F186" t="str">
            <v>31/12/2026</v>
          </cell>
          <cell r="G186" t="str">
            <v>2026 YAHALA Card - Dubai Offers</v>
          </cell>
          <cell r="H186" t="str">
            <v>a0CTi00005KB3kpMAD</v>
          </cell>
          <cell r="I186" t="str">
            <v>L26DBYACA</v>
          </cell>
          <cell r="J186" t="str">
            <v>Active</v>
          </cell>
          <cell r="K186">
            <v>45996</v>
          </cell>
          <cell r="L186" t="str">
            <v>Dubai</v>
          </cell>
        </row>
        <row r="187">
          <cell r="A187" t="str">
            <v>X23942869</v>
          </cell>
          <cell r="C187" t="str">
            <v>Hello Park</v>
          </cell>
          <cell r="D187" t="str">
            <v>% Off</v>
          </cell>
          <cell r="E187">
            <v>46023</v>
          </cell>
          <cell r="F187" t="str">
            <v>31/12/2026</v>
          </cell>
          <cell r="G187" t="str">
            <v>2026 YAHALA Card - Dubai Offers</v>
          </cell>
          <cell r="H187" t="str">
            <v>a0CTi00005KB3kpMAD</v>
          </cell>
          <cell r="I187" t="str">
            <v>L26DBYACA</v>
          </cell>
          <cell r="J187" t="str">
            <v>Active</v>
          </cell>
          <cell r="K187">
            <v>45996</v>
          </cell>
          <cell r="L187" t="str">
            <v>Dubai</v>
          </cell>
        </row>
        <row r="188">
          <cell r="A188" t="str">
            <v>X23927981</v>
          </cell>
          <cell r="C188" t="str">
            <v>Sky View Observatory</v>
          </cell>
          <cell r="D188" t="str">
            <v>% Off</v>
          </cell>
          <cell r="E188">
            <v>46023</v>
          </cell>
          <cell r="F188" t="str">
            <v>31/12/2026</v>
          </cell>
          <cell r="G188" t="str">
            <v>2026 YAHALA Card - Dubai Offers</v>
          </cell>
          <cell r="H188" t="str">
            <v>a0CTi00005KB3kpMAD</v>
          </cell>
          <cell r="I188" t="str">
            <v>L26DBYACA</v>
          </cell>
          <cell r="J188" t="str">
            <v>Active</v>
          </cell>
          <cell r="K188">
            <v>45996</v>
          </cell>
          <cell r="L188" t="str">
            <v>Dubai</v>
          </cell>
        </row>
        <row r="189">
          <cell r="A189" t="str">
            <v>X23927981</v>
          </cell>
          <cell r="C189" t="str">
            <v>Sky View Observatory</v>
          </cell>
          <cell r="D189" t="str">
            <v>% Off</v>
          </cell>
          <cell r="E189">
            <v>46023</v>
          </cell>
          <cell r="F189" t="str">
            <v>31/12/2026</v>
          </cell>
          <cell r="G189" t="str">
            <v>2026 YAHALA Card - Dubai Offers</v>
          </cell>
          <cell r="H189" t="str">
            <v>a0CTi00005KB3kpMAD</v>
          </cell>
          <cell r="I189" t="str">
            <v>L26DBYACA</v>
          </cell>
          <cell r="J189" t="str">
            <v>Active</v>
          </cell>
          <cell r="K189">
            <v>45996</v>
          </cell>
          <cell r="L189" t="str">
            <v>Dubai</v>
          </cell>
        </row>
        <row r="190">
          <cell r="A190" t="str">
            <v>X23888635</v>
          </cell>
          <cell r="C190" t="str">
            <v>Anfas Al Khaleej Perfumes</v>
          </cell>
          <cell r="D190" t="str">
            <v>% Off</v>
          </cell>
          <cell r="E190">
            <v>46023</v>
          </cell>
          <cell r="F190" t="str">
            <v>31/12/2026</v>
          </cell>
          <cell r="G190" t="str">
            <v>2026 YAHALA Card - Dubai Offers</v>
          </cell>
          <cell r="H190" t="str">
            <v>a0CTi00005KB3kpMAD</v>
          </cell>
          <cell r="I190" t="str">
            <v>L26DBYACA</v>
          </cell>
          <cell r="J190" t="str">
            <v>Active</v>
          </cell>
          <cell r="K190">
            <v>45996</v>
          </cell>
          <cell r="L190" t="str">
            <v>Dubai</v>
          </cell>
        </row>
        <row r="191">
          <cell r="A191" t="str">
            <v>X23938205</v>
          </cell>
          <cell r="C191" t="str">
            <v>Karl Lagerfeld</v>
          </cell>
          <cell r="D191" t="str">
            <v>% Off</v>
          </cell>
          <cell r="E191">
            <v>46023</v>
          </cell>
          <cell r="F191" t="str">
            <v>31/12/2026</v>
          </cell>
          <cell r="G191" t="str">
            <v>2026 YAHALA Card - Dubai Offers</v>
          </cell>
          <cell r="H191" t="str">
            <v>a0CTi00005KB3kpMAD</v>
          </cell>
          <cell r="I191" t="str">
            <v>L26DBYACA</v>
          </cell>
          <cell r="J191" t="str">
            <v>Active</v>
          </cell>
          <cell r="K191">
            <v>45996</v>
          </cell>
          <cell r="L191" t="str">
            <v>Dubai</v>
          </cell>
        </row>
        <row r="192">
          <cell r="A192" t="str">
            <v>X035546</v>
          </cell>
          <cell r="C192" t="str">
            <v>Kaleidoscope</v>
          </cell>
          <cell r="D192" t="str">
            <v>% Off</v>
          </cell>
          <cell r="E192">
            <v>46023</v>
          </cell>
          <cell r="F192" t="str">
            <v>31/12/2026</v>
          </cell>
          <cell r="G192" t="str">
            <v>2026 YAHALA Card - Dubai Offers</v>
          </cell>
          <cell r="H192" t="str">
            <v>a0CTi00005KB3kpMAD</v>
          </cell>
          <cell r="I192" t="str">
            <v>L26DBYACA</v>
          </cell>
          <cell r="J192" t="str">
            <v>Active</v>
          </cell>
          <cell r="K192">
            <v>45996</v>
          </cell>
          <cell r="L192" t="str">
            <v>Dubai</v>
          </cell>
        </row>
        <row r="193">
          <cell r="A193" t="str">
            <v>X21934745</v>
          </cell>
          <cell r="C193" t="str">
            <v>Giardino</v>
          </cell>
          <cell r="D193" t="str">
            <v>% Off</v>
          </cell>
          <cell r="E193">
            <v>46023</v>
          </cell>
          <cell r="F193" t="str">
            <v>31/12/2026</v>
          </cell>
          <cell r="G193" t="str">
            <v>2026 YAHALA Card - Dubai Offers</v>
          </cell>
          <cell r="H193" t="str">
            <v>a0CTi00005KB3kpMAD</v>
          </cell>
          <cell r="I193" t="str">
            <v>L26DBYACA</v>
          </cell>
          <cell r="J193" t="str">
            <v>Active</v>
          </cell>
          <cell r="K193">
            <v>45996</v>
          </cell>
          <cell r="L193" t="str">
            <v>Dubai</v>
          </cell>
        </row>
        <row r="194">
          <cell r="A194" t="str">
            <v>X035919</v>
          </cell>
          <cell r="C194" t="str">
            <v>Boardwalk</v>
          </cell>
          <cell r="D194" t="str">
            <v>% Off</v>
          </cell>
          <cell r="E194">
            <v>46023</v>
          </cell>
          <cell r="F194" t="str">
            <v>31/12/2026</v>
          </cell>
          <cell r="G194" t="str">
            <v>2026 YAHALA Card - Dubai Offers</v>
          </cell>
          <cell r="H194" t="str">
            <v>a0CTi00005KB3kpMAD</v>
          </cell>
          <cell r="I194" t="str">
            <v>L26DBYACA</v>
          </cell>
          <cell r="J194" t="str">
            <v>Active</v>
          </cell>
          <cell r="K194">
            <v>45996</v>
          </cell>
          <cell r="L194" t="str">
            <v>Dubai</v>
          </cell>
        </row>
        <row r="195">
          <cell r="A195" t="str">
            <v>X23955287</v>
          </cell>
          <cell r="C195" t="str">
            <v>Sense Seven</v>
          </cell>
          <cell r="D195" t="str">
            <v>% Off</v>
          </cell>
          <cell r="E195">
            <v>46023</v>
          </cell>
          <cell r="F195" t="str">
            <v>31/12/2026</v>
          </cell>
          <cell r="G195" t="str">
            <v>2026 YAHALA Card - Dubai Offers</v>
          </cell>
          <cell r="H195" t="str">
            <v>a0CTi00005KB3kpMAD</v>
          </cell>
          <cell r="I195" t="str">
            <v>L26DBYACA</v>
          </cell>
          <cell r="J195" t="str">
            <v>Active</v>
          </cell>
          <cell r="K195">
            <v>45996</v>
          </cell>
          <cell r="L195" t="str">
            <v>Dubai</v>
          </cell>
        </row>
        <row r="196">
          <cell r="A196" t="str">
            <v>X21331730</v>
          </cell>
          <cell r="C196" t="str">
            <v>Cielo</v>
          </cell>
          <cell r="D196" t="str">
            <v>% Off</v>
          </cell>
          <cell r="E196">
            <v>46023</v>
          </cell>
          <cell r="F196" t="str">
            <v>31/12/2026</v>
          </cell>
          <cell r="G196" t="str">
            <v>2026 YAHALA Card - Dubai Offers</v>
          </cell>
          <cell r="H196" t="str">
            <v>a0CTi00005KB3kpMAD</v>
          </cell>
          <cell r="I196" t="str">
            <v>L26DBYACA</v>
          </cell>
          <cell r="J196" t="str">
            <v>Active</v>
          </cell>
          <cell r="K196">
            <v>45996</v>
          </cell>
          <cell r="L196" t="str">
            <v>Dubai</v>
          </cell>
        </row>
        <row r="197">
          <cell r="A197" t="str">
            <v>X035916</v>
          </cell>
          <cell r="C197" t="str">
            <v>Dubai Aquarium &amp; Underwater Zoo</v>
          </cell>
          <cell r="D197" t="str">
            <v>% Off</v>
          </cell>
          <cell r="E197">
            <v>46023</v>
          </cell>
          <cell r="F197" t="str">
            <v>31/12/2026</v>
          </cell>
          <cell r="G197" t="str">
            <v>2026 YAHALA Card - Dubai Offers</v>
          </cell>
          <cell r="H197" t="str">
            <v>a0CTi00005KB3kpMAD</v>
          </cell>
          <cell r="I197" t="str">
            <v>L26DBYACA</v>
          </cell>
          <cell r="J197" t="str">
            <v>Active</v>
          </cell>
          <cell r="K197">
            <v>45996</v>
          </cell>
          <cell r="L197" t="str">
            <v>Dubai</v>
          </cell>
        </row>
        <row r="198">
          <cell r="A198" t="str">
            <v>X23946448</v>
          </cell>
          <cell r="C198" t="str">
            <v>Bremont - Ahmed Seddiqi &amp; Sons</v>
          </cell>
          <cell r="D198" t="str">
            <v>% Off</v>
          </cell>
          <cell r="E198">
            <v>46023</v>
          </cell>
          <cell r="F198" t="str">
            <v>31/12/2026</v>
          </cell>
          <cell r="G198" t="str">
            <v>2026 YAHALA Card - Dubai Offers</v>
          </cell>
          <cell r="H198" t="str">
            <v>a0CTi00005KB3kpMAD</v>
          </cell>
          <cell r="I198" t="str">
            <v>L26DBYACA</v>
          </cell>
          <cell r="J198" t="str">
            <v>Active</v>
          </cell>
          <cell r="K198">
            <v>45996</v>
          </cell>
          <cell r="L198" t="str">
            <v>Dubai</v>
          </cell>
        </row>
        <row r="199">
          <cell r="A199" t="str">
            <v>X22217928</v>
          </cell>
          <cell r="C199" t="str">
            <v>At the Top, Burj Khalifa</v>
          </cell>
          <cell r="D199" t="str">
            <v>% Off</v>
          </cell>
          <cell r="E199">
            <v>46023</v>
          </cell>
          <cell r="F199" t="str">
            <v>31/12/2026</v>
          </cell>
          <cell r="G199" t="str">
            <v>2026 YAHALA Card - Dubai Offers</v>
          </cell>
          <cell r="H199" t="str">
            <v>a0CTi00005KB3kpMAD</v>
          </cell>
          <cell r="I199" t="str">
            <v>L26DBYACA</v>
          </cell>
          <cell r="J199" t="str">
            <v>Active</v>
          </cell>
          <cell r="K199">
            <v>45996</v>
          </cell>
          <cell r="L199" t="str">
            <v>Dubai</v>
          </cell>
        </row>
        <row r="200">
          <cell r="A200" t="str">
            <v>X22217928</v>
          </cell>
          <cell r="C200" t="str">
            <v>At the Top, Burj Khalifa</v>
          </cell>
          <cell r="D200" t="str">
            <v>% Off</v>
          </cell>
          <cell r="E200">
            <v>46023</v>
          </cell>
          <cell r="F200" t="str">
            <v>31/12/2026</v>
          </cell>
          <cell r="G200" t="str">
            <v>2026 YAHALA Card - Dubai Offers</v>
          </cell>
          <cell r="H200" t="str">
            <v>a0CTi00005KB3kpMAD</v>
          </cell>
          <cell r="I200" t="str">
            <v>L26DBYACA</v>
          </cell>
          <cell r="J200" t="str">
            <v>Active</v>
          </cell>
          <cell r="K200">
            <v>45996</v>
          </cell>
          <cell r="L200" t="str">
            <v>Dubai</v>
          </cell>
        </row>
        <row r="201">
          <cell r="A201" t="str">
            <v>X22217928</v>
          </cell>
          <cell r="C201" t="str">
            <v>At the Top, Burj Khalifa</v>
          </cell>
          <cell r="D201" t="str">
            <v>% Off</v>
          </cell>
          <cell r="E201">
            <v>46023</v>
          </cell>
          <cell r="F201" t="str">
            <v>31/12/2026</v>
          </cell>
          <cell r="G201" t="str">
            <v>2026 YAHALA Card - Dubai Offers</v>
          </cell>
          <cell r="H201" t="str">
            <v>a0CTi00005KB3kpMAD</v>
          </cell>
          <cell r="I201" t="str">
            <v>L26DBYACA</v>
          </cell>
          <cell r="J201" t="str">
            <v>Active</v>
          </cell>
          <cell r="K201">
            <v>45996</v>
          </cell>
          <cell r="L201" t="str">
            <v>Dubai</v>
          </cell>
        </row>
        <row r="202">
          <cell r="A202" t="str">
            <v>X23890036</v>
          </cell>
          <cell r="C202" t="str">
            <v>Grand Service Station</v>
          </cell>
          <cell r="D202" t="str">
            <v>% Off</v>
          </cell>
          <cell r="E202">
            <v>46023</v>
          </cell>
          <cell r="F202" t="str">
            <v>31/12/2026</v>
          </cell>
          <cell r="G202" t="str">
            <v>2026 YAHALA Card - Dubai Offers</v>
          </cell>
          <cell r="H202" t="str">
            <v>a0CTi00005KB3kpMAD</v>
          </cell>
          <cell r="I202" t="str">
            <v>L26DBYACA</v>
          </cell>
          <cell r="J202" t="str">
            <v>Active</v>
          </cell>
          <cell r="K202">
            <v>45996</v>
          </cell>
          <cell r="L202" t="str">
            <v>Dubai</v>
          </cell>
        </row>
        <row r="203">
          <cell r="A203" t="str">
            <v>X23890036</v>
          </cell>
          <cell r="C203" t="str">
            <v>Grand Service Station</v>
          </cell>
          <cell r="D203" t="str">
            <v>% Off</v>
          </cell>
          <cell r="E203">
            <v>46023</v>
          </cell>
          <cell r="F203" t="str">
            <v>31/12/2026</v>
          </cell>
          <cell r="G203" t="str">
            <v>2026 YAHALA Card - Dubai Offers</v>
          </cell>
          <cell r="H203" t="str">
            <v>a0CTi00005KB3kpMAD</v>
          </cell>
          <cell r="I203" t="str">
            <v>L26DBYACA</v>
          </cell>
          <cell r="J203" t="str">
            <v>Active</v>
          </cell>
          <cell r="K203">
            <v>45996</v>
          </cell>
          <cell r="L203" t="str">
            <v>Dubai</v>
          </cell>
        </row>
        <row r="204">
          <cell r="A204" t="str">
            <v>X23890036</v>
          </cell>
          <cell r="C204" t="str">
            <v>Grand Service Station</v>
          </cell>
          <cell r="D204" t="str">
            <v>% Off</v>
          </cell>
          <cell r="E204">
            <v>46023</v>
          </cell>
          <cell r="F204" t="str">
            <v>31/12/2026</v>
          </cell>
          <cell r="G204" t="str">
            <v>2026 YAHALA Card - Dubai Offers</v>
          </cell>
          <cell r="H204" t="str">
            <v>a0CTi00005KB3kpMAD</v>
          </cell>
          <cell r="I204" t="str">
            <v>L26DBYACA</v>
          </cell>
          <cell r="J204" t="str">
            <v>Active</v>
          </cell>
          <cell r="K204">
            <v>45996</v>
          </cell>
          <cell r="L204" t="str">
            <v>Dubai</v>
          </cell>
        </row>
        <row r="205">
          <cell r="A205" t="str">
            <v>X23938217</v>
          </cell>
          <cell r="C205" t="str">
            <v>Tryano</v>
          </cell>
          <cell r="D205" t="str">
            <v>% Off</v>
          </cell>
          <cell r="E205">
            <v>46023</v>
          </cell>
          <cell r="F205" t="str">
            <v>31/12/2026</v>
          </cell>
          <cell r="G205" t="str">
            <v>2026 YAHALA Card - Dubai Offers</v>
          </cell>
          <cell r="H205" t="str">
            <v>a0CTi00005KB3kpMAD</v>
          </cell>
          <cell r="I205" t="str">
            <v>L26DBYACA</v>
          </cell>
          <cell r="J205" t="str">
            <v>Active</v>
          </cell>
          <cell r="K205">
            <v>45996</v>
          </cell>
          <cell r="L205" t="str">
            <v>Dubai</v>
          </cell>
        </row>
        <row r="206">
          <cell r="A206" t="str">
            <v>X23938224</v>
          </cell>
          <cell r="C206" t="str">
            <v>Nars</v>
          </cell>
          <cell r="D206" t="str">
            <v>% Off</v>
          </cell>
          <cell r="E206">
            <v>46023</v>
          </cell>
          <cell r="F206" t="str">
            <v>31/12/2026</v>
          </cell>
          <cell r="G206" t="str">
            <v>2026 YAHALA Card - Dubai Offers</v>
          </cell>
          <cell r="H206" t="str">
            <v>a0CTi00005KB3kpMAD</v>
          </cell>
          <cell r="I206" t="str">
            <v>L26DBYACA</v>
          </cell>
          <cell r="J206" t="str">
            <v>Active</v>
          </cell>
          <cell r="K206">
            <v>45996</v>
          </cell>
          <cell r="L206" t="str">
            <v>Dubai</v>
          </cell>
        </row>
        <row r="207">
          <cell r="A207" t="str">
            <v>X23951157</v>
          </cell>
          <cell r="C207" t="str">
            <v>La Promenade</v>
          </cell>
          <cell r="D207" t="str">
            <v>% Off</v>
          </cell>
          <cell r="E207">
            <v>46023</v>
          </cell>
          <cell r="F207" t="str">
            <v>31/12/2026</v>
          </cell>
          <cell r="G207" t="str">
            <v>2026 YAHALA Card - Dubai Offers</v>
          </cell>
          <cell r="H207" t="str">
            <v>a0CTi00005KB3kpMAD</v>
          </cell>
          <cell r="I207" t="str">
            <v>L26DBYACA</v>
          </cell>
          <cell r="J207" t="str">
            <v>Active</v>
          </cell>
          <cell r="K207">
            <v>45996</v>
          </cell>
          <cell r="L207" t="str">
            <v>Dubai</v>
          </cell>
        </row>
        <row r="208">
          <cell r="A208" t="str">
            <v>X23880468</v>
          </cell>
          <cell r="C208" t="str">
            <v>Concord - Ahmed Seddiqi &amp; Sons</v>
          </cell>
          <cell r="D208" t="str">
            <v>% Off</v>
          </cell>
          <cell r="E208">
            <v>46023</v>
          </cell>
          <cell r="F208" t="str">
            <v>31/12/2026</v>
          </cell>
          <cell r="G208" t="str">
            <v>2026 YAHALA Card - Dubai Offers</v>
          </cell>
          <cell r="H208" t="str">
            <v>a0CTi00005KB3kpMAD</v>
          </cell>
          <cell r="I208" t="str">
            <v>L26DBYACA</v>
          </cell>
          <cell r="J208" t="str">
            <v>Active</v>
          </cell>
          <cell r="K208">
            <v>45996</v>
          </cell>
          <cell r="L208" t="str">
            <v>Dubai</v>
          </cell>
        </row>
        <row r="209">
          <cell r="A209" t="str">
            <v>X23885171</v>
          </cell>
          <cell r="C209" t="str">
            <v>Bliss Flowers Dubai</v>
          </cell>
          <cell r="D209" t="str">
            <v>% Off</v>
          </cell>
          <cell r="E209">
            <v>46023</v>
          </cell>
          <cell r="F209" t="str">
            <v>31/12/2026</v>
          </cell>
          <cell r="G209" t="str">
            <v>2026 YAHALA Card - Dubai Offers</v>
          </cell>
          <cell r="H209" t="str">
            <v>a0CTi00005KB3kpMAD</v>
          </cell>
          <cell r="I209" t="str">
            <v>L26DBYACA</v>
          </cell>
          <cell r="J209" t="str">
            <v>Active</v>
          </cell>
          <cell r="K209">
            <v>45996</v>
          </cell>
          <cell r="L209" t="str">
            <v>Dubai</v>
          </cell>
        </row>
        <row r="210">
          <cell r="A210" t="str">
            <v>X23880980</v>
          </cell>
          <cell r="C210" t="str">
            <v>Coya Spa</v>
          </cell>
          <cell r="D210" t="str">
            <v>% Off</v>
          </cell>
          <cell r="E210">
            <v>46023</v>
          </cell>
          <cell r="F210" t="str">
            <v>31/12/2026</v>
          </cell>
          <cell r="G210" t="str">
            <v>2026 YAHALA Card - Dubai Offers</v>
          </cell>
          <cell r="H210" t="str">
            <v>a0CTi00005KB3kpMAD</v>
          </cell>
          <cell r="I210" t="str">
            <v>L26DBYACA</v>
          </cell>
          <cell r="J210" t="str">
            <v>Active</v>
          </cell>
          <cell r="K210">
            <v>45996</v>
          </cell>
          <cell r="L210" t="str">
            <v>Dubai</v>
          </cell>
        </row>
        <row r="211">
          <cell r="A211" t="str">
            <v>X23893602</v>
          </cell>
          <cell r="C211" t="str">
            <v>Bait Al Kandora</v>
          </cell>
          <cell r="D211" t="str">
            <v>% Off</v>
          </cell>
          <cell r="E211">
            <v>46023</v>
          </cell>
          <cell r="F211" t="str">
            <v>31/12/2026</v>
          </cell>
          <cell r="G211" t="str">
            <v>2026 YAHALA Card - Dubai Offers</v>
          </cell>
          <cell r="H211" t="str">
            <v>a0CTi00005KB3kpMAD</v>
          </cell>
          <cell r="I211" t="str">
            <v>L26DBYACA</v>
          </cell>
          <cell r="J211" t="str">
            <v>Active</v>
          </cell>
          <cell r="K211">
            <v>45996</v>
          </cell>
          <cell r="L211" t="str">
            <v>Dubai</v>
          </cell>
        </row>
        <row r="212">
          <cell r="A212" t="str">
            <v>X105745</v>
          </cell>
          <cell r="C212" t="str">
            <v>Kidzania</v>
          </cell>
          <cell r="D212" t="str">
            <v>% Off</v>
          </cell>
          <cell r="E212">
            <v>46023</v>
          </cell>
          <cell r="F212" t="str">
            <v>31/12/2026</v>
          </cell>
          <cell r="G212" t="str">
            <v>2026 YAHALA Card - Dubai Offers</v>
          </cell>
          <cell r="H212" t="str">
            <v>a0CTi00005KB3kpMAD</v>
          </cell>
          <cell r="I212" t="str">
            <v>L26DBYACA</v>
          </cell>
          <cell r="J212" t="str">
            <v>Active</v>
          </cell>
          <cell r="K212">
            <v>45996</v>
          </cell>
          <cell r="L212" t="str">
            <v>Dubai</v>
          </cell>
        </row>
        <row r="213">
          <cell r="A213" t="str">
            <v>X23934235</v>
          </cell>
          <cell r="C213" t="str">
            <v>Malibu</v>
          </cell>
          <cell r="D213" t="str">
            <v>% Off</v>
          </cell>
          <cell r="E213">
            <v>46023</v>
          </cell>
          <cell r="F213" t="str">
            <v>31/12/2026</v>
          </cell>
          <cell r="G213" t="str">
            <v>2026 YAHALA Card - Dubai Offers</v>
          </cell>
          <cell r="H213" t="str">
            <v>a0CTi00005KB3kpMAD</v>
          </cell>
          <cell r="I213" t="str">
            <v>L26DBYACA</v>
          </cell>
          <cell r="J213" t="str">
            <v>Active</v>
          </cell>
          <cell r="K213">
            <v>45996</v>
          </cell>
          <cell r="L213" t="str">
            <v>Dubai</v>
          </cell>
        </row>
        <row r="214">
          <cell r="A214" t="str">
            <v>X23942052</v>
          </cell>
          <cell r="C214" t="str">
            <v>Frederique Constant - Ahmed Seddiqi &amp; Sons</v>
          </cell>
          <cell r="D214" t="str">
            <v>% Off</v>
          </cell>
          <cell r="E214">
            <v>46023</v>
          </cell>
          <cell r="F214" t="str">
            <v>31/12/2026</v>
          </cell>
          <cell r="G214" t="str">
            <v>2026 YAHALA Card - Dubai Offers</v>
          </cell>
          <cell r="H214" t="str">
            <v>a0CTi00005KB3kpMAD</v>
          </cell>
          <cell r="I214" t="str">
            <v>L26DBYACA</v>
          </cell>
          <cell r="J214" t="str">
            <v>Active</v>
          </cell>
          <cell r="K214">
            <v>45996</v>
          </cell>
          <cell r="L214" t="str">
            <v>Dubai</v>
          </cell>
        </row>
        <row r="215">
          <cell r="A215" t="str">
            <v>X23932693</v>
          </cell>
          <cell r="C215" t="str">
            <v>Josette</v>
          </cell>
          <cell r="D215" t="str">
            <v>% Off</v>
          </cell>
          <cell r="E215">
            <v>46023</v>
          </cell>
          <cell r="F215" t="str">
            <v>31/12/2026</v>
          </cell>
          <cell r="G215" t="str">
            <v>2026 YAHALA Card - Dubai Offers</v>
          </cell>
          <cell r="H215" t="str">
            <v>a0CTi00005KB3kpMAD</v>
          </cell>
          <cell r="I215" t="str">
            <v>L26DBYACA</v>
          </cell>
          <cell r="J215" t="str">
            <v>Active</v>
          </cell>
          <cell r="K215">
            <v>45996</v>
          </cell>
          <cell r="L215" t="str">
            <v>Dubai</v>
          </cell>
        </row>
        <row r="216">
          <cell r="A216" t="str">
            <v>X23939882</v>
          </cell>
          <cell r="C216" t="str">
            <v>Bebek Restaurant &amp; Lounge</v>
          </cell>
          <cell r="D216" t="str">
            <v>% Off</v>
          </cell>
          <cell r="E216">
            <v>46023</v>
          </cell>
          <cell r="F216" t="str">
            <v>31/12/2026</v>
          </cell>
          <cell r="G216" t="str">
            <v>2026 YAHALA Card - Dubai Offers</v>
          </cell>
          <cell r="H216" t="str">
            <v>a0CTi00005KB3kpMAD</v>
          </cell>
          <cell r="I216" t="str">
            <v>L26DBYACA</v>
          </cell>
          <cell r="J216" t="str">
            <v>Active</v>
          </cell>
          <cell r="K216">
            <v>45996</v>
          </cell>
          <cell r="L216" t="str">
            <v>Dubai</v>
          </cell>
        </row>
        <row r="217">
          <cell r="A217" t="str">
            <v>X23890036</v>
          </cell>
          <cell r="C217" t="str">
            <v>Grand Service Station</v>
          </cell>
          <cell r="D217" t="str">
            <v>% Off</v>
          </cell>
          <cell r="E217">
            <v>46023</v>
          </cell>
          <cell r="F217" t="str">
            <v>31/12/2026</v>
          </cell>
          <cell r="G217" t="str">
            <v>2026 YAHALA Card - Dubai Offers</v>
          </cell>
          <cell r="H217" t="str">
            <v>a0CTi00005KB3kpMAD</v>
          </cell>
          <cell r="I217" t="str">
            <v>L26DBYACA</v>
          </cell>
          <cell r="J217" t="str">
            <v>Active</v>
          </cell>
          <cell r="K217">
            <v>45996</v>
          </cell>
          <cell r="L217" t="str">
            <v>Dubai</v>
          </cell>
        </row>
        <row r="218">
          <cell r="A218" t="str">
            <v>X23890036</v>
          </cell>
          <cell r="C218" t="str">
            <v>Grand Service Station</v>
          </cell>
          <cell r="D218" t="str">
            <v>% Off</v>
          </cell>
          <cell r="E218">
            <v>46023</v>
          </cell>
          <cell r="F218" t="str">
            <v>31/12/2026</v>
          </cell>
          <cell r="G218" t="str">
            <v>2026 YAHALA Card - Dubai Offers</v>
          </cell>
          <cell r="H218" t="str">
            <v>a0CTi00005KB3kpMAD</v>
          </cell>
          <cell r="I218" t="str">
            <v>L26DBYACA</v>
          </cell>
          <cell r="J218" t="str">
            <v>Active</v>
          </cell>
          <cell r="K218">
            <v>45996</v>
          </cell>
          <cell r="L218" t="str">
            <v>Dubai</v>
          </cell>
        </row>
        <row r="219">
          <cell r="A219" t="str">
            <v>X23938203</v>
          </cell>
          <cell r="C219" t="str">
            <v>Versace</v>
          </cell>
          <cell r="D219" t="str">
            <v>% Off</v>
          </cell>
          <cell r="E219">
            <v>46023</v>
          </cell>
          <cell r="F219" t="str">
            <v>31/12/2026</v>
          </cell>
          <cell r="G219" t="str">
            <v>2026 YAHALA Card - Dubai Offers</v>
          </cell>
          <cell r="H219" t="str">
            <v>a0CTi00005KB3kpMAD</v>
          </cell>
          <cell r="I219" t="str">
            <v>L26DBYACA</v>
          </cell>
          <cell r="J219" t="str">
            <v>Active</v>
          </cell>
          <cell r="K219">
            <v>45996</v>
          </cell>
          <cell r="L219" t="str">
            <v>Dubai</v>
          </cell>
        </row>
        <row r="220">
          <cell r="A220" t="str">
            <v>X23954701</v>
          </cell>
          <cell r="C220" t="str">
            <v>Mirabelle</v>
          </cell>
          <cell r="D220" t="str">
            <v>% Off</v>
          </cell>
          <cell r="E220">
            <v>46023</v>
          </cell>
          <cell r="F220" t="str">
            <v>31/12/2026</v>
          </cell>
          <cell r="G220" t="str">
            <v>2026 YAHALA Card - Dubai Offers</v>
          </cell>
          <cell r="H220" t="str">
            <v>a0CTi00005KB3kpMAD</v>
          </cell>
          <cell r="I220" t="str">
            <v>L26DBYACA</v>
          </cell>
          <cell r="J220" t="str">
            <v>Active</v>
          </cell>
          <cell r="K220">
            <v>45996</v>
          </cell>
          <cell r="L220" t="str">
            <v>Dubai</v>
          </cell>
        </row>
        <row r="221">
          <cell r="A221" t="str">
            <v>X23942053</v>
          </cell>
          <cell r="C221" t="str">
            <v>Louis Erard - Ahmed Seddiqi &amp; Sons</v>
          </cell>
          <cell r="D221" t="str">
            <v>% Off</v>
          </cell>
          <cell r="E221">
            <v>46023</v>
          </cell>
          <cell r="F221" t="str">
            <v>31/12/2026</v>
          </cell>
          <cell r="G221" t="str">
            <v>2026 YAHALA Card - Dubai Offers</v>
          </cell>
          <cell r="H221" t="str">
            <v>a0CTi00005KB3kpMAD</v>
          </cell>
          <cell r="I221" t="str">
            <v>L26DBYACA</v>
          </cell>
          <cell r="J221" t="str">
            <v>Active</v>
          </cell>
          <cell r="K221">
            <v>45996</v>
          </cell>
          <cell r="L221" t="str">
            <v>Dubai</v>
          </cell>
        </row>
        <row r="222">
          <cell r="A222" t="str">
            <v>X23880554</v>
          </cell>
          <cell r="C222" t="str">
            <v>West End - Ahmed Seddiqi &amp; Sons</v>
          </cell>
          <cell r="D222" t="str">
            <v>% Off</v>
          </cell>
          <cell r="E222">
            <v>46023</v>
          </cell>
          <cell r="F222" t="str">
            <v>31/12/2026</v>
          </cell>
          <cell r="G222" t="str">
            <v>2026 YAHALA Card - Dubai Offers</v>
          </cell>
          <cell r="H222" t="str">
            <v>a0CTi00005KB3kpMAD</v>
          </cell>
          <cell r="I222" t="str">
            <v>L26DBYACA</v>
          </cell>
          <cell r="J222" t="str">
            <v>Active</v>
          </cell>
          <cell r="K222">
            <v>45996</v>
          </cell>
          <cell r="L222" t="str">
            <v>Dubai</v>
          </cell>
        </row>
        <row r="223">
          <cell r="A223" t="str">
            <v>X23945843</v>
          </cell>
          <cell r="C223" t="str">
            <v>Aelia</v>
          </cell>
          <cell r="D223" t="str">
            <v>% Off</v>
          </cell>
          <cell r="E223">
            <v>46023</v>
          </cell>
          <cell r="F223" t="str">
            <v>31/12/2026</v>
          </cell>
          <cell r="G223" t="str">
            <v>2026 YAHALA Card - Dubai Offers</v>
          </cell>
          <cell r="H223" t="str">
            <v>a0CTi00005KB3kpMAD</v>
          </cell>
          <cell r="I223" t="str">
            <v>L26DBYACA</v>
          </cell>
          <cell r="J223" t="str">
            <v>Active</v>
          </cell>
          <cell r="K223">
            <v>45996</v>
          </cell>
          <cell r="L223" t="str">
            <v>Dubai</v>
          </cell>
        </row>
        <row r="224">
          <cell r="A224" t="str">
            <v>X23942873</v>
          </cell>
          <cell r="C224" t="str">
            <v>U-Boat - Ahmed Seddiqi &amp; Sons</v>
          </cell>
          <cell r="D224" t="str">
            <v>% Off</v>
          </cell>
          <cell r="E224">
            <v>46023</v>
          </cell>
          <cell r="F224" t="str">
            <v>31/12/2026</v>
          </cell>
          <cell r="G224" t="str">
            <v>2026 YAHALA Card - Dubai Offers</v>
          </cell>
          <cell r="H224" t="str">
            <v>a0CTi00005KB3kpMAD</v>
          </cell>
          <cell r="I224" t="str">
            <v>L26DBYACA</v>
          </cell>
          <cell r="J224" t="str">
            <v>Active</v>
          </cell>
          <cell r="K224">
            <v>45996</v>
          </cell>
          <cell r="L224" t="str">
            <v>Dubai</v>
          </cell>
        </row>
        <row r="225">
          <cell r="A225" t="str">
            <v>X23890036</v>
          </cell>
          <cell r="C225" t="str">
            <v>Grand Service Station</v>
          </cell>
          <cell r="D225" t="str">
            <v>% Off</v>
          </cell>
          <cell r="E225">
            <v>46023</v>
          </cell>
          <cell r="F225" t="str">
            <v>31/12/2026</v>
          </cell>
          <cell r="G225" t="str">
            <v>2026 YAHALA Card - Dubai Offers</v>
          </cell>
          <cell r="H225" t="str">
            <v>a0CTi00005KB3kpMAD</v>
          </cell>
          <cell r="I225" t="str">
            <v>L26DBYACA</v>
          </cell>
          <cell r="J225" t="str">
            <v>Active</v>
          </cell>
          <cell r="K225">
            <v>45996</v>
          </cell>
          <cell r="L225" t="str">
            <v>Dubai</v>
          </cell>
        </row>
        <row r="226">
          <cell r="A226" t="str">
            <v>X23890036</v>
          </cell>
          <cell r="C226" t="str">
            <v>Grand Service Station</v>
          </cell>
          <cell r="D226" t="str">
            <v>% Off</v>
          </cell>
          <cell r="E226">
            <v>46023</v>
          </cell>
          <cell r="F226" t="str">
            <v>31/12/2026</v>
          </cell>
          <cell r="G226" t="str">
            <v>2026 YAHALA Card - Dubai Offers</v>
          </cell>
          <cell r="H226" t="str">
            <v>a0CTi00005KB3kpMAD</v>
          </cell>
          <cell r="I226" t="str">
            <v>L26DBYACA</v>
          </cell>
          <cell r="J226" t="str">
            <v>Active</v>
          </cell>
          <cell r="K226">
            <v>45996</v>
          </cell>
          <cell r="L226" t="str">
            <v>Dubai</v>
          </cell>
        </row>
        <row r="227">
          <cell r="A227" t="str">
            <v>X23890036</v>
          </cell>
          <cell r="C227" t="str">
            <v>Grand Service Station</v>
          </cell>
          <cell r="D227" t="str">
            <v>% Off</v>
          </cell>
          <cell r="E227">
            <v>46023</v>
          </cell>
          <cell r="F227" t="str">
            <v>31/12/2026</v>
          </cell>
          <cell r="G227" t="str">
            <v>2026 YAHALA Card - Dubai Offers</v>
          </cell>
          <cell r="H227" t="str">
            <v>a0CTi00005KB3kpMAD</v>
          </cell>
          <cell r="I227" t="str">
            <v>L26DBYACA</v>
          </cell>
          <cell r="J227" t="str">
            <v>Active</v>
          </cell>
          <cell r="K227">
            <v>45996</v>
          </cell>
          <cell r="L227" t="str">
            <v>Dubai</v>
          </cell>
        </row>
        <row r="228">
          <cell r="A228" t="str">
            <v>X23880949</v>
          </cell>
          <cell r="C228" t="str">
            <v>The One</v>
          </cell>
          <cell r="D228" t="str">
            <v>% Off</v>
          </cell>
          <cell r="E228">
            <v>46023</v>
          </cell>
          <cell r="F228" t="str">
            <v>31/12/2026</v>
          </cell>
          <cell r="G228" t="str">
            <v>2026 YAHALA Card - Dubai Offers</v>
          </cell>
          <cell r="H228" t="str">
            <v>a0CTi00005KB3kpMAD</v>
          </cell>
          <cell r="I228" t="str">
            <v>L26DBYACA</v>
          </cell>
          <cell r="J228" t="str">
            <v>Active</v>
          </cell>
          <cell r="K228">
            <v>45996</v>
          </cell>
          <cell r="L228" t="str">
            <v>Dubai</v>
          </cell>
        </row>
        <row r="229">
          <cell r="A229" t="str">
            <v>X23880978</v>
          </cell>
          <cell r="C229" t="str">
            <v>Jawhara</v>
          </cell>
          <cell r="D229" t="str">
            <v>% Off</v>
          </cell>
          <cell r="E229">
            <v>46023</v>
          </cell>
          <cell r="F229" t="str">
            <v>31/12/2026</v>
          </cell>
          <cell r="G229" t="str">
            <v>2026 YAHALA Card - Dubai Offers</v>
          </cell>
          <cell r="H229" t="str">
            <v>a0CTi00005KB3kpMAD</v>
          </cell>
          <cell r="I229" t="str">
            <v>L26DBYACA</v>
          </cell>
          <cell r="J229" t="str">
            <v>Active</v>
          </cell>
          <cell r="K229">
            <v>45996</v>
          </cell>
          <cell r="L229" t="str">
            <v>Dubai</v>
          </cell>
        </row>
        <row r="230">
          <cell r="A230" t="str">
            <v>X21972351</v>
          </cell>
          <cell r="C230" t="str">
            <v>Enigma</v>
          </cell>
          <cell r="D230" t="str">
            <v>% Off</v>
          </cell>
          <cell r="E230">
            <v>46023</v>
          </cell>
          <cell r="F230" t="str">
            <v>31/12/2026</v>
          </cell>
          <cell r="G230" t="str">
            <v>2026 YAHALA Card - Dubai Offers</v>
          </cell>
          <cell r="H230" t="str">
            <v>a0CTi00005KB3kpMAD</v>
          </cell>
          <cell r="I230" t="str">
            <v>L26DBYACA</v>
          </cell>
          <cell r="J230" t="str">
            <v>Active</v>
          </cell>
          <cell r="K230">
            <v>45996</v>
          </cell>
          <cell r="L230" t="str">
            <v>Dubai</v>
          </cell>
        </row>
        <row r="231">
          <cell r="A231" t="str">
            <v>X23933393</v>
          </cell>
          <cell r="C231" t="str">
            <v>Kadayifzade</v>
          </cell>
          <cell r="D231" t="str">
            <v>% Off</v>
          </cell>
          <cell r="E231">
            <v>46023</v>
          </cell>
          <cell r="F231" t="str">
            <v>31/12/2026</v>
          </cell>
          <cell r="G231" t="str">
            <v>2026 YAHALA Card - Dubai Offers</v>
          </cell>
          <cell r="H231" t="str">
            <v>a0CTi00005KB3kpMAD</v>
          </cell>
          <cell r="I231" t="str">
            <v>L26DBYACA</v>
          </cell>
          <cell r="J231" t="str">
            <v>Active</v>
          </cell>
          <cell r="K231">
            <v>45996</v>
          </cell>
          <cell r="L231" t="str">
            <v>Dubai</v>
          </cell>
        </row>
        <row r="232">
          <cell r="A232" t="str">
            <v>X23910199</v>
          </cell>
          <cell r="C232" t="str">
            <v>CENTREPOINT</v>
          </cell>
          <cell r="D232" t="str">
            <v>% Off</v>
          </cell>
          <cell r="E232">
            <v>46023</v>
          </cell>
          <cell r="F232" t="str">
            <v>31/12/2026</v>
          </cell>
          <cell r="G232" t="str">
            <v>2026 YAHALA Card - Dubai Offers</v>
          </cell>
          <cell r="H232" t="str">
            <v>a0CTi00005KB3kpMAD</v>
          </cell>
          <cell r="I232" t="str">
            <v>L26DBYACA</v>
          </cell>
          <cell r="J232" t="str">
            <v>Active</v>
          </cell>
          <cell r="K232">
            <v>45996</v>
          </cell>
          <cell r="L232" t="str">
            <v>Dubai</v>
          </cell>
        </row>
        <row r="233">
          <cell r="A233" t="str">
            <v>X21094190</v>
          </cell>
          <cell r="C233" t="str">
            <v>Casa De Tapas</v>
          </cell>
          <cell r="D233" t="str">
            <v>% Off</v>
          </cell>
          <cell r="E233">
            <v>46023</v>
          </cell>
          <cell r="F233" t="str">
            <v>31/12/2026</v>
          </cell>
          <cell r="G233" t="str">
            <v>2026 YAHALA Card - Dubai Offers</v>
          </cell>
          <cell r="H233" t="str">
            <v>a0CTi00005KB3kpMAD</v>
          </cell>
          <cell r="I233" t="str">
            <v>L26DBYACA</v>
          </cell>
          <cell r="J233" t="str">
            <v>Active</v>
          </cell>
          <cell r="K233">
            <v>45996</v>
          </cell>
          <cell r="L233" t="str">
            <v>Dubai</v>
          </cell>
        </row>
        <row r="234">
          <cell r="A234" t="str">
            <v>X23453930</v>
          </cell>
          <cell r="C234" t="str">
            <v>Ossiano</v>
          </cell>
          <cell r="D234" t="str">
            <v>% Off</v>
          </cell>
          <cell r="E234">
            <v>46023</v>
          </cell>
          <cell r="F234" t="str">
            <v>31/12/2026</v>
          </cell>
          <cell r="G234" t="str">
            <v>2026 YAHALA Card - Dubai Offers</v>
          </cell>
          <cell r="H234" t="str">
            <v>a0CTi00005KB3kpMAD</v>
          </cell>
          <cell r="I234" t="str">
            <v>L26DBYACA</v>
          </cell>
          <cell r="J234" t="str">
            <v>Active</v>
          </cell>
          <cell r="K234">
            <v>45996</v>
          </cell>
          <cell r="L234" t="str">
            <v>Dubai</v>
          </cell>
        </row>
        <row r="235">
          <cell r="A235" t="str">
            <v>X23945886</v>
          </cell>
          <cell r="C235" t="str">
            <v>Andaliman</v>
          </cell>
          <cell r="D235" t="str">
            <v>% Off</v>
          </cell>
          <cell r="E235">
            <v>46023</v>
          </cell>
          <cell r="F235" t="str">
            <v>31/12/2026</v>
          </cell>
          <cell r="G235" t="str">
            <v>2026 YAHALA Card - Dubai Offers</v>
          </cell>
          <cell r="H235" t="str">
            <v>a0CTi00005KB3kpMAD</v>
          </cell>
          <cell r="I235" t="str">
            <v>L26DBYACA</v>
          </cell>
          <cell r="J235" t="str">
            <v>Active</v>
          </cell>
          <cell r="K235">
            <v>45996</v>
          </cell>
          <cell r="L235" t="str">
            <v>Dubai</v>
          </cell>
        </row>
        <row r="236">
          <cell r="A236" t="str">
            <v>X23880470</v>
          </cell>
          <cell r="C236" t="str">
            <v>Daniel Wellington - Ahmed Seddiqi &amp; Sons</v>
          </cell>
          <cell r="D236" t="str">
            <v>% Off</v>
          </cell>
          <cell r="E236">
            <v>46023</v>
          </cell>
          <cell r="F236" t="str">
            <v>31/12/2026</v>
          </cell>
          <cell r="G236" t="str">
            <v>2026 YAHALA Card - Dubai Offers</v>
          </cell>
          <cell r="H236" t="str">
            <v>a0CTi00005KB3kpMAD</v>
          </cell>
          <cell r="I236" t="str">
            <v>L26DBYACA</v>
          </cell>
          <cell r="J236" t="str">
            <v>Active</v>
          </cell>
          <cell r="K236">
            <v>45996</v>
          </cell>
          <cell r="L236" t="str">
            <v>Dubai</v>
          </cell>
        </row>
        <row r="237">
          <cell r="A237" t="str">
            <v>X23946447</v>
          </cell>
          <cell r="C237" t="str">
            <v>Persee - Ahmed Seddiqi &amp; Sons</v>
          </cell>
          <cell r="D237" t="str">
            <v>% Off</v>
          </cell>
          <cell r="E237">
            <v>46023</v>
          </cell>
          <cell r="F237" t="str">
            <v>31/12/2026</v>
          </cell>
          <cell r="G237" t="str">
            <v>2026 YAHALA Card - Dubai Offers</v>
          </cell>
          <cell r="H237" t="str">
            <v>a0CTi00005KB3kpMAD</v>
          </cell>
          <cell r="I237" t="str">
            <v>L26DBYACA</v>
          </cell>
          <cell r="J237" t="str">
            <v>Active</v>
          </cell>
          <cell r="K237">
            <v>45996</v>
          </cell>
          <cell r="L237" t="str">
            <v>Dubai</v>
          </cell>
        </row>
        <row r="238">
          <cell r="A238" t="str">
            <v>X23453929</v>
          </cell>
          <cell r="C238" t="str">
            <v>Nobu</v>
          </cell>
          <cell r="D238" t="str">
            <v>% Off</v>
          </cell>
          <cell r="E238">
            <v>46023</v>
          </cell>
          <cell r="F238" t="str">
            <v>31/12/2026</v>
          </cell>
          <cell r="G238" t="str">
            <v>2026 YAHALA Card - Dubai Offers</v>
          </cell>
          <cell r="H238" t="str">
            <v>a0CTi00005KB3kpMAD</v>
          </cell>
          <cell r="I238" t="str">
            <v>L26DBYACA</v>
          </cell>
          <cell r="J238" t="str">
            <v>Active</v>
          </cell>
          <cell r="K238">
            <v>45996</v>
          </cell>
          <cell r="L238" t="str">
            <v>Dubai</v>
          </cell>
        </row>
        <row r="239">
          <cell r="A239" t="str">
            <v>X23953648</v>
          </cell>
          <cell r="C239" t="str">
            <v>Noon One</v>
          </cell>
          <cell r="D239" t="str">
            <v>Package</v>
          </cell>
          <cell r="E239">
            <v>46023</v>
          </cell>
          <cell r="F239" t="str">
            <v>31/12/2026</v>
          </cell>
          <cell r="G239" t="str">
            <v>2026 YAHALA Card - Dubai Offers</v>
          </cell>
          <cell r="H239" t="str">
            <v>a0CTi00005KB3kpMAD</v>
          </cell>
          <cell r="I239" t="str">
            <v>L26DBYACA</v>
          </cell>
          <cell r="J239" t="str">
            <v>Active</v>
          </cell>
          <cell r="K239">
            <v>45996</v>
          </cell>
          <cell r="L239" t="str">
            <v>Dubai</v>
          </cell>
        </row>
        <row r="240">
          <cell r="A240" t="str">
            <v>X23953648</v>
          </cell>
          <cell r="C240" t="str">
            <v>Noon One</v>
          </cell>
          <cell r="D240" t="str">
            <v>Package</v>
          </cell>
          <cell r="E240">
            <v>46023</v>
          </cell>
          <cell r="F240" t="str">
            <v>31/12/2026</v>
          </cell>
          <cell r="G240" t="str">
            <v>2026 YAHALA Card - Dubai Offers</v>
          </cell>
          <cell r="H240" t="str">
            <v>a0CTi00005KB3kpMAD</v>
          </cell>
          <cell r="I240" t="str">
            <v>L26DBYACA</v>
          </cell>
          <cell r="J240" t="str">
            <v>Active</v>
          </cell>
          <cell r="K240">
            <v>45996</v>
          </cell>
          <cell r="L240" t="str">
            <v>Dubai</v>
          </cell>
        </row>
        <row r="241">
          <cell r="A241" t="str">
            <v>X23880472</v>
          </cell>
          <cell r="C241" t="str">
            <v>Sephora</v>
          </cell>
          <cell r="D241" t="str">
            <v>% Off</v>
          </cell>
          <cell r="E241">
            <v>46023</v>
          </cell>
          <cell r="F241" t="str">
            <v>31/12/2026</v>
          </cell>
          <cell r="G241" t="str">
            <v>2026 YAHALA Card - Dubai Offers</v>
          </cell>
          <cell r="H241" t="str">
            <v>a0CTi00005KB3kpMAD</v>
          </cell>
          <cell r="I241" t="str">
            <v>L26DBYACA</v>
          </cell>
          <cell r="J241" t="str">
            <v>Active</v>
          </cell>
          <cell r="K241">
            <v>45996</v>
          </cell>
          <cell r="L241" t="str">
            <v>Dubai</v>
          </cell>
        </row>
        <row r="242">
          <cell r="A242" t="str">
            <v>X23934232</v>
          </cell>
          <cell r="C242" t="str">
            <v>La Mar</v>
          </cell>
          <cell r="D242" t="str">
            <v>% Off</v>
          </cell>
          <cell r="E242">
            <v>46023</v>
          </cell>
          <cell r="F242" t="str">
            <v>31/12/2026</v>
          </cell>
          <cell r="G242" t="str">
            <v>2026 YAHALA Card - Dubai Offers</v>
          </cell>
          <cell r="H242" t="str">
            <v>a0CTi00005KB3kpMAD</v>
          </cell>
          <cell r="I242" t="str">
            <v>L26DBYACA</v>
          </cell>
          <cell r="J242" t="str">
            <v>Active</v>
          </cell>
          <cell r="K242">
            <v>45996</v>
          </cell>
          <cell r="L242" t="str">
            <v>Dubai</v>
          </cell>
        </row>
        <row r="243">
          <cell r="A243" t="str">
            <v>X23954703</v>
          </cell>
          <cell r="C243" t="str">
            <v>Madame Li</v>
          </cell>
          <cell r="D243" t="str">
            <v>% Off</v>
          </cell>
          <cell r="E243">
            <v>46023</v>
          </cell>
          <cell r="F243" t="str">
            <v>31/12/2026</v>
          </cell>
          <cell r="G243" t="str">
            <v>2026 YAHALA Card - Dubai Offers</v>
          </cell>
          <cell r="H243" t="str">
            <v>a0CTi00005KB3kpMAD</v>
          </cell>
          <cell r="I243" t="str">
            <v>L26DBYACA</v>
          </cell>
          <cell r="J243" t="str">
            <v>Active</v>
          </cell>
          <cell r="K243">
            <v>45996</v>
          </cell>
          <cell r="L243" t="str">
            <v>Dubai</v>
          </cell>
        </row>
        <row r="244">
          <cell r="A244" t="str">
            <v>X23880391</v>
          </cell>
          <cell r="C244" t="str">
            <v>Coya</v>
          </cell>
          <cell r="D244" t="str">
            <v>% Off</v>
          </cell>
          <cell r="E244">
            <v>46023</v>
          </cell>
          <cell r="F244" t="str">
            <v>31/12/2026</v>
          </cell>
          <cell r="G244" t="str">
            <v>2026 YAHALA Card - Dubai Offers</v>
          </cell>
          <cell r="H244" t="str">
            <v>a0CTi00005KB3kpMAD</v>
          </cell>
          <cell r="I244" t="str">
            <v>L26DBYACA</v>
          </cell>
          <cell r="J244" t="str">
            <v>Active</v>
          </cell>
          <cell r="K244">
            <v>45996</v>
          </cell>
          <cell r="L244" t="str">
            <v>Dubai</v>
          </cell>
        </row>
        <row r="245">
          <cell r="A245" t="str">
            <v>X23880435</v>
          </cell>
          <cell r="C245" t="str">
            <v>1847 Salons</v>
          </cell>
          <cell r="D245" t="str">
            <v>% Off</v>
          </cell>
          <cell r="E245">
            <v>46023</v>
          </cell>
          <cell r="F245" t="str">
            <v>31/12/2026</v>
          </cell>
          <cell r="G245" t="str">
            <v>2026 YAHALA Card - Dubai Offers</v>
          </cell>
          <cell r="H245" t="str">
            <v>a0CTi00005KB3kpMAD</v>
          </cell>
          <cell r="I245" t="str">
            <v>L26DBYACA</v>
          </cell>
          <cell r="J245" t="str">
            <v>Active</v>
          </cell>
          <cell r="K245">
            <v>45996</v>
          </cell>
          <cell r="L245" t="str">
            <v>Dubai</v>
          </cell>
        </row>
        <row r="246">
          <cell r="A246" t="str">
            <v>X23942042</v>
          </cell>
          <cell r="C246" t="str">
            <v>DKNY - Ahmed Seddiqi &amp; Sons</v>
          </cell>
          <cell r="D246" t="str">
            <v>% Off</v>
          </cell>
          <cell r="E246">
            <v>46023</v>
          </cell>
          <cell r="F246" t="str">
            <v>31/12/2026</v>
          </cell>
          <cell r="G246" t="str">
            <v>2026 YAHALA Card - Dubai Offers</v>
          </cell>
          <cell r="H246" t="str">
            <v>a0CTi00005KB3kpMAD</v>
          </cell>
          <cell r="I246" t="str">
            <v>L26DBYACA</v>
          </cell>
          <cell r="J246" t="str">
            <v>Active</v>
          </cell>
          <cell r="K246">
            <v>45996</v>
          </cell>
          <cell r="L246" t="str">
            <v>Dubai</v>
          </cell>
        </row>
        <row r="247">
          <cell r="A247" t="str">
            <v>X23934239</v>
          </cell>
          <cell r="C247" t="str">
            <v>Nobu by the Beach</v>
          </cell>
          <cell r="D247" t="str">
            <v>% Off</v>
          </cell>
          <cell r="E247">
            <v>46023</v>
          </cell>
          <cell r="F247" t="str">
            <v>31/12/2026</v>
          </cell>
          <cell r="G247" t="str">
            <v>2026 YAHALA Card - Dubai Offers</v>
          </cell>
          <cell r="H247" t="str">
            <v>a0CTi00005KB3kpMAD</v>
          </cell>
          <cell r="I247" t="str">
            <v>L26DBYACA</v>
          </cell>
          <cell r="J247" t="str">
            <v>Active</v>
          </cell>
          <cell r="K247">
            <v>45996</v>
          </cell>
          <cell r="L247" t="str">
            <v>Dubai</v>
          </cell>
        </row>
        <row r="248">
          <cell r="A248" t="str">
            <v>X23942885</v>
          </cell>
          <cell r="C248" t="str">
            <v>Skagen - Ahmed Seddiqi &amp; Sons</v>
          </cell>
          <cell r="D248" t="str">
            <v>% Off</v>
          </cell>
          <cell r="E248">
            <v>46023</v>
          </cell>
          <cell r="F248" t="str">
            <v>31/12/2026</v>
          </cell>
          <cell r="G248" t="str">
            <v>2026 YAHALA Card - Dubai Offers</v>
          </cell>
          <cell r="H248" t="str">
            <v>a0CTi00005KB3kpMAD</v>
          </cell>
          <cell r="I248" t="str">
            <v>L26DBYACA</v>
          </cell>
          <cell r="J248" t="str">
            <v>Active</v>
          </cell>
          <cell r="K248">
            <v>45996</v>
          </cell>
          <cell r="L248" t="str">
            <v>Dubai</v>
          </cell>
        </row>
        <row r="249">
          <cell r="A249" t="str">
            <v>X23950058</v>
          </cell>
          <cell r="C249" t="str">
            <v>L' Occitane</v>
          </cell>
          <cell r="D249" t="str">
            <v>% Off</v>
          </cell>
          <cell r="E249">
            <v>46023</v>
          </cell>
          <cell r="F249" t="str">
            <v>31/12/2026</v>
          </cell>
          <cell r="G249" t="str">
            <v>2026 YAHALA Card - Dubai Offers</v>
          </cell>
          <cell r="H249" t="str">
            <v>a0CTi00005KB3kpMAD</v>
          </cell>
          <cell r="I249" t="str">
            <v>L26DBYACA</v>
          </cell>
          <cell r="J249" t="str">
            <v>Active</v>
          </cell>
          <cell r="K249">
            <v>45996</v>
          </cell>
          <cell r="L249" t="str">
            <v>Dubai</v>
          </cell>
        </row>
        <row r="250">
          <cell r="A250" t="str">
            <v>X22382425</v>
          </cell>
          <cell r="C250" t="str">
            <v>Il Borro Tuscan Bistro</v>
          </cell>
          <cell r="D250" t="str">
            <v>% Off</v>
          </cell>
          <cell r="E250">
            <v>46023</v>
          </cell>
          <cell r="F250" t="str">
            <v>31/12/2026</v>
          </cell>
          <cell r="G250" t="str">
            <v>2026 YAHALA Card - Dubai Offers</v>
          </cell>
          <cell r="H250" t="str">
            <v>a0CTi00005KB3kpMAD</v>
          </cell>
          <cell r="I250" t="str">
            <v>L26DBYACA</v>
          </cell>
          <cell r="J250" t="str">
            <v>Active</v>
          </cell>
          <cell r="K250">
            <v>45996</v>
          </cell>
          <cell r="L250" t="str">
            <v>Dubai</v>
          </cell>
        </row>
        <row r="251">
          <cell r="A251" t="str">
            <v>X23938131</v>
          </cell>
          <cell r="C251" t="str">
            <v>Giorgio Armani Dubai</v>
          </cell>
          <cell r="D251" t="str">
            <v>% Off</v>
          </cell>
          <cell r="E251">
            <v>46023</v>
          </cell>
          <cell r="F251" t="str">
            <v>31/12/2026</v>
          </cell>
          <cell r="G251" t="str">
            <v>2026 YAHALA Card - Dubai Offers</v>
          </cell>
          <cell r="H251" t="str">
            <v>a0CTi00005KB3kpMAD</v>
          </cell>
          <cell r="I251" t="str">
            <v>L26DBYACA</v>
          </cell>
          <cell r="J251" t="str">
            <v>Active</v>
          </cell>
          <cell r="K251">
            <v>45996</v>
          </cell>
          <cell r="L251" t="str">
            <v>Dubai</v>
          </cell>
        </row>
        <row r="252">
          <cell r="A252" t="str">
            <v>X035922</v>
          </cell>
          <cell r="C252" t="str">
            <v>Lakeview</v>
          </cell>
          <cell r="D252" t="str">
            <v>% Off</v>
          </cell>
          <cell r="E252">
            <v>46023</v>
          </cell>
          <cell r="F252" t="str">
            <v>31/12/2026</v>
          </cell>
          <cell r="G252" t="str">
            <v>2026 YAHALA Card - Dubai Offers</v>
          </cell>
          <cell r="H252" t="str">
            <v>a0CTi00005KB3kpMAD</v>
          </cell>
          <cell r="I252" t="str">
            <v>L26DBYACA</v>
          </cell>
          <cell r="J252" t="str">
            <v>Active</v>
          </cell>
          <cell r="K252">
            <v>45996</v>
          </cell>
          <cell r="L252" t="str">
            <v>Dubai</v>
          </cell>
        </row>
        <row r="253">
          <cell r="A253" t="str">
            <v>X23880511</v>
          </cell>
          <cell r="C253" t="str">
            <v>Fossil - Ahmed Seddiqi &amp; Sons</v>
          </cell>
          <cell r="D253" t="str">
            <v>% Off</v>
          </cell>
          <cell r="E253">
            <v>46023</v>
          </cell>
          <cell r="F253" t="str">
            <v>31/12/2026</v>
          </cell>
          <cell r="G253" t="str">
            <v>2026 YAHALA Card - Dubai Offers</v>
          </cell>
          <cell r="H253" t="str">
            <v>a0CTi00005KB3kpMAD</v>
          </cell>
          <cell r="I253" t="str">
            <v>L26DBYACA</v>
          </cell>
          <cell r="J253" t="str">
            <v>Active</v>
          </cell>
          <cell r="K253">
            <v>45996</v>
          </cell>
          <cell r="L253" t="str">
            <v>Dubai</v>
          </cell>
        </row>
        <row r="254">
          <cell r="A254" t="str">
            <v>X035924</v>
          </cell>
          <cell r="C254" t="str">
            <v>QD's</v>
          </cell>
          <cell r="D254" t="str">
            <v>% Off</v>
          </cell>
          <cell r="E254">
            <v>46023</v>
          </cell>
          <cell r="F254" t="str">
            <v>31/12/2026</v>
          </cell>
          <cell r="G254" t="str">
            <v>2026 YAHALA Card - Dubai Offers</v>
          </cell>
          <cell r="H254" t="str">
            <v>a0CTi00005KB3kpMAD</v>
          </cell>
          <cell r="I254" t="str">
            <v>L26DBYACA</v>
          </cell>
          <cell r="J254" t="str">
            <v>Active</v>
          </cell>
          <cell r="K254">
            <v>45996</v>
          </cell>
          <cell r="L254" t="str">
            <v>Dubai</v>
          </cell>
        </row>
        <row r="255">
          <cell r="A255" t="str">
            <v>X23942055</v>
          </cell>
          <cell r="C255" t="str">
            <v>Norqain - Ahmed Seddiqi &amp; Sons</v>
          </cell>
          <cell r="D255" t="str">
            <v>% Off</v>
          </cell>
          <cell r="E255">
            <v>46023</v>
          </cell>
          <cell r="F255" t="str">
            <v>31/12/2026</v>
          </cell>
          <cell r="G255" t="str">
            <v>2026 YAHALA Card - Dubai Offers</v>
          </cell>
          <cell r="H255" t="str">
            <v>a0CTi00005KB3kpMAD</v>
          </cell>
          <cell r="I255" t="str">
            <v>L26DBYACA</v>
          </cell>
          <cell r="J255" t="str">
            <v>Active</v>
          </cell>
          <cell r="K255">
            <v>45996</v>
          </cell>
          <cell r="L255" t="str">
            <v>Dubai</v>
          </cell>
        </row>
        <row r="256">
          <cell r="A256" t="str">
            <v>X23940387</v>
          </cell>
          <cell r="C256" t="str">
            <v>DESCO</v>
          </cell>
          <cell r="D256" t="str">
            <v>% Off</v>
          </cell>
          <cell r="E256">
            <v>46023</v>
          </cell>
          <cell r="F256" t="str">
            <v>31/12/2026</v>
          </cell>
          <cell r="G256" t="str">
            <v>2026 YAHALA Card - Dubai Offers</v>
          </cell>
          <cell r="H256" t="str">
            <v>a0CTi00005KB3kpMAD</v>
          </cell>
          <cell r="I256" t="str">
            <v>L26DBYACA</v>
          </cell>
          <cell r="J256" t="str">
            <v>Active</v>
          </cell>
          <cell r="K256">
            <v>45996</v>
          </cell>
          <cell r="L256" t="str">
            <v>Dubai</v>
          </cell>
        </row>
        <row r="257">
          <cell r="A257" t="str">
            <v>X23942048</v>
          </cell>
          <cell r="C257" t="str">
            <v>Bell &amp; Ross - Ahmed Seddiqi &amp; Sons</v>
          </cell>
          <cell r="D257" t="str">
            <v>% Off</v>
          </cell>
          <cell r="E257">
            <v>46023</v>
          </cell>
          <cell r="F257" t="str">
            <v>31/12/2026</v>
          </cell>
          <cell r="G257" t="str">
            <v>2026 YAHALA Card - Dubai Offers</v>
          </cell>
          <cell r="H257" t="str">
            <v>a0CTi00005KB3kpMAD</v>
          </cell>
          <cell r="I257" t="str">
            <v>L26DBYACA</v>
          </cell>
          <cell r="J257" t="str">
            <v>Active</v>
          </cell>
          <cell r="K257">
            <v>45996</v>
          </cell>
          <cell r="L257" t="str">
            <v>Dubai</v>
          </cell>
        </row>
        <row r="258">
          <cell r="A258" t="str">
            <v>X23942040</v>
          </cell>
          <cell r="C258" t="str">
            <v>Diesel - Ahmed Seddiqi &amp; Sons</v>
          </cell>
          <cell r="D258" t="str">
            <v>% Off</v>
          </cell>
          <cell r="E258">
            <v>46023</v>
          </cell>
          <cell r="F258" t="str">
            <v>31/12/2026</v>
          </cell>
          <cell r="G258" t="str">
            <v>2026 YAHALA Card - Dubai Offers</v>
          </cell>
          <cell r="H258" t="str">
            <v>a0CTi00005KB3kpMAD</v>
          </cell>
          <cell r="I258" t="str">
            <v>L26DBYACA</v>
          </cell>
          <cell r="J258" t="str">
            <v>Active</v>
          </cell>
          <cell r="K258">
            <v>45996</v>
          </cell>
          <cell r="L258" t="str">
            <v>Dubai</v>
          </cell>
        </row>
        <row r="259">
          <cell r="A259" t="str">
            <v>X23941389</v>
          </cell>
          <cell r="C259" t="str">
            <v>Buben &amp; Zorweg - Ahmed Seddiqi &amp; Sons</v>
          </cell>
          <cell r="D259" t="str">
            <v>% Off</v>
          </cell>
          <cell r="E259">
            <v>46023</v>
          </cell>
          <cell r="F259" t="str">
            <v>31/12/2026</v>
          </cell>
          <cell r="G259" t="str">
            <v>2026 YAHALA Card - Dubai Offers</v>
          </cell>
          <cell r="H259" t="str">
            <v>a0CTi00005KB3kpMAD</v>
          </cell>
          <cell r="I259" t="str">
            <v>L26DBYACA</v>
          </cell>
          <cell r="J259" t="str">
            <v>Active</v>
          </cell>
          <cell r="K259">
            <v>45996</v>
          </cell>
          <cell r="L259" t="str">
            <v>Dubai</v>
          </cell>
        </row>
        <row r="260">
          <cell r="A260" t="str">
            <v>X23941493</v>
          </cell>
          <cell r="C260" t="str">
            <v>Movado Edge - Ahmed Seddiqi &amp; Sons</v>
          </cell>
          <cell r="D260" t="str">
            <v>% Off</v>
          </cell>
          <cell r="E260">
            <v>46023</v>
          </cell>
          <cell r="F260" t="str">
            <v>31/12/2026</v>
          </cell>
          <cell r="G260" t="str">
            <v>2026 YAHALA Card - Dubai Offers</v>
          </cell>
          <cell r="H260" t="str">
            <v>a0CTi00005KB3kpMAD</v>
          </cell>
          <cell r="I260" t="str">
            <v>L26DBYACA</v>
          </cell>
          <cell r="J260" t="str">
            <v>Active</v>
          </cell>
          <cell r="K260">
            <v>45996</v>
          </cell>
          <cell r="L260" t="str">
            <v>Dubai</v>
          </cell>
        </row>
        <row r="261">
          <cell r="A261" t="str">
            <v>X23938233</v>
          </cell>
          <cell r="C261" t="str">
            <v>Kids Around</v>
          </cell>
          <cell r="D261" t="str">
            <v>% Off</v>
          </cell>
          <cell r="E261">
            <v>46023</v>
          </cell>
          <cell r="F261" t="str">
            <v>31/12/2026</v>
          </cell>
          <cell r="G261" t="str">
            <v>2026 YAHALA Card - Dubai Offers</v>
          </cell>
          <cell r="H261" t="str">
            <v>a0CTi00005KB3kpMAD</v>
          </cell>
          <cell r="I261" t="str">
            <v>L26DBYACA</v>
          </cell>
          <cell r="J261" t="str">
            <v>Active</v>
          </cell>
          <cell r="K261">
            <v>45996</v>
          </cell>
          <cell r="L261" t="str">
            <v>Dubai</v>
          </cell>
        </row>
        <row r="262">
          <cell r="A262" t="str">
            <v>X23880513</v>
          </cell>
          <cell r="C262" t="str">
            <v>Michael Kors - Ahmed Seddiqi &amp; Sons</v>
          </cell>
          <cell r="D262" t="str">
            <v>% Off</v>
          </cell>
          <cell r="E262">
            <v>46023</v>
          </cell>
          <cell r="F262" t="str">
            <v>31/12/2026</v>
          </cell>
          <cell r="G262" t="str">
            <v>2026 YAHALA Card - Dubai Offers</v>
          </cell>
          <cell r="H262" t="str">
            <v>a0CTi00005KB3kpMAD</v>
          </cell>
          <cell r="I262" t="str">
            <v>L26DBYACA</v>
          </cell>
          <cell r="J262" t="str">
            <v>Active</v>
          </cell>
          <cell r="K262">
            <v>45996</v>
          </cell>
          <cell r="L262" t="str">
            <v>Dubai</v>
          </cell>
        </row>
        <row r="263">
          <cell r="A263" t="str">
            <v>X23880555</v>
          </cell>
          <cell r="C263" t="str">
            <v>Visconti - Ahmed Seddiqi &amp; Sons</v>
          </cell>
          <cell r="D263" t="str">
            <v>% Off</v>
          </cell>
          <cell r="E263">
            <v>46023</v>
          </cell>
          <cell r="F263" t="str">
            <v>31/12/2026</v>
          </cell>
          <cell r="G263" t="str">
            <v>2026 YAHALA Card - Dubai Offers</v>
          </cell>
          <cell r="H263" t="str">
            <v>a0CTi00005KB3kpMAD</v>
          </cell>
          <cell r="I263" t="str">
            <v>L26DBYACA</v>
          </cell>
          <cell r="J263" t="str">
            <v>Active</v>
          </cell>
          <cell r="K263">
            <v>45996</v>
          </cell>
          <cell r="L263" t="str">
            <v>Dubai</v>
          </cell>
        </row>
        <row r="264">
          <cell r="A264" t="str">
            <v>X23880448</v>
          </cell>
          <cell r="C264" t="str">
            <v>Chopard - Ahmed Seddiqi &amp; Sons</v>
          </cell>
          <cell r="D264" t="str">
            <v>% Off</v>
          </cell>
          <cell r="E264">
            <v>46023</v>
          </cell>
          <cell r="F264" t="str">
            <v>31/12/2026</v>
          </cell>
          <cell r="G264" t="str">
            <v>2026 YAHALA Card - Dubai Offers</v>
          </cell>
          <cell r="H264" t="str">
            <v>a0CTi00005KB3kpMAD</v>
          </cell>
          <cell r="I264" t="str">
            <v>L26DBYACA</v>
          </cell>
          <cell r="J264" t="str">
            <v>Active</v>
          </cell>
          <cell r="K264">
            <v>45996</v>
          </cell>
          <cell r="L264" t="str">
            <v>Dubai</v>
          </cell>
        </row>
        <row r="265">
          <cell r="A265" t="str">
            <v>X23880459</v>
          </cell>
          <cell r="C265" t="str">
            <v>Movado - Ahmed Seddiqi &amp; Sons</v>
          </cell>
          <cell r="D265" t="str">
            <v>% Off</v>
          </cell>
          <cell r="E265">
            <v>46023</v>
          </cell>
          <cell r="F265" t="str">
            <v>31/12/2026</v>
          </cell>
          <cell r="G265" t="str">
            <v>2026 YAHALA Card - Dubai Offers</v>
          </cell>
          <cell r="H265" t="str">
            <v>a0CTi00005KB3kpMAD</v>
          </cell>
          <cell r="I265" t="str">
            <v>L26DBYACA</v>
          </cell>
          <cell r="J265" t="str">
            <v>Active</v>
          </cell>
          <cell r="K265">
            <v>45996</v>
          </cell>
          <cell r="L265" t="str">
            <v>Dubai</v>
          </cell>
        </row>
        <row r="266">
          <cell r="A266" t="str">
            <v>X23927471</v>
          </cell>
          <cell r="C266" t="str">
            <v>Ulysse Nardin - Ahmed Seddiqi &amp; Sons</v>
          </cell>
          <cell r="D266" t="str">
            <v>% Off</v>
          </cell>
          <cell r="E266">
            <v>46023</v>
          </cell>
          <cell r="F266" t="str">
            <v>31/12/2026</v>
          </cell>
          <cell r="G266" t="str">
            <v>2026 YAHALA Card - Dubai Offers</v>
          </cell>
          <cell r="H266" t="str">
            <v>a0CTi00005KB3kpMAD</v>
          </cell>
          <cell r="I266" t="str">
            <v>L26DBYACA</v>
          </cell>
          <cell r="J266" t="str">
            <v>Active</v>
          </cell>
          <cell r="K266">
            <v>45996</v>
          </cell>
          <cell r="L266" t="str">
            <v>Dubai</v>
          </cell>
        </row>
        <row r="267">
          <cell r="A267" t="str">
            <v>X23942058</v>
          </cell>
          <cell r="C267" t="str">
            <v>Pasquale Bruni - Ahmed Seddiqi &amp; Sons</v>
          </cell>
          <cell r="D267" t="str">
            <v>% Off</v>
          </cell>
          <cell r="E267">
            <v>46023</v>
          </cell>
          <cell r="F267" t="str">
            <v>31/12/2026</v>
          </cell>
          <cell r="G267" t="str">
            <v>2026 YAHALA Card - Dubai Offers</v>
          </cell>
          <cell r="H267" t="str">
            <v>a0CTi00005KB3kpMAD</v>
          </cell>
          <cell r="I267" t="str">
            <v>L26DBYACA</v>
          </cell>
          <cell r="J267" t="str">
            <v>Active</v>
          </cell>
          <cell r="K267">
            <v>45996</v>
          </cell>
          <cell r="L267" t="str">
            <v>Dubai</v>
          </cell>
        </row>
        <row r="268">
          <cell r="A268" t="str">
            <v>X23880512</v>
          </cell>
          <cell r="C268" t="str">
            <v>GC - Ahmed Seddiqi &amp; Sons</v>
          </cell>
          <cell r="D268" t="str">
            <v>% Off</v>
          </cell>
          <cell r="E268">
            <v>46023</v>
          </cell>
          <cell r="F268" t="str">
            <v>31/12/2026</v>
          </cell>
          <cell r="G268" t="str">
            <v>2026 YAHALA Card - Dubai Offers</v>
          </cell>
          <cell r="H268" t="str">
            <v>a0CTi00005KB3kpMAD</v>
          </cell>
          <cell r="I268" t="str">
            <v>L26DBYACA</v>
          </cell>
          <cell r="J268" t="str">
            <v>Active</v>
          </cell>
          <cell r="K268">
            <v>45996</v>
          </cell>
          <cell r="L268" t="str">
            <v>Dubai</v>
          </cell>
        </row>
        <row r="269">
          <cell r="A269" t="str">
            <v>X23880516</v>
          </cell>
          <cell r="C269" t="str">
            <v>Guess - Ahmed Seddiqi &amp; Sons</v>
          </cell>
          <cell r="D269" t="str">
            <v>% Off</v>
          </cell>
          <cell r="E269">
            <v>46023</v>
          </cell>
          <cell r="F269" t="str">
            <v>31/12/2026</v>
          </cell>
          <cell r="G269" t="str">
            <v>2026 YAHALA Card - Dubai Offers</v>
          </cell>
          <cell r="H269" t="str">
            <v>a0CTi00005KB3kpMAD</v>
          </cell>
          <cell r="I269" t="str">
            <v>L26DBYACA</v>
          </cell>
          <cell r="J269" t="str">
            <v>Active</v>
          </cell>
          <cell r="K269">
            <v>45996</v>
          </cell>
          <cell r="L269" t="str">
            <v>Dubai</v>
          </cell>
        </row>
        <row r="270">
          <cell r="A270" t="str">
            <v>X23880553</v>
          </cell>
          <cell r="C270" t="str">
            <v>Victorinox - Ahmed Seddiqi &amp; Sons</v>
          </cell>
          <cell r="D270" t="str">
            <v>% Off</v>
          </cell>
          <cell r="E270">
            <v>46023</v>
          </cell>
          <cell r="F270" t="str">
            <v>31/12/2026</v>
          </cell>
          <cell r="G270" t="str">
            <v>2026 YAHALA Card - Dubai Offers</v>
          </cell>
          <cell r="H270" t="str">
            <v>a0CTi00005KB3kpMAD</v>
          </cell>
          <cell r="I270" t="str">
            <v>L26DBYACA</v>
          </cell>
          <cell r="J270" t="str">
            <v>Active</v>
          </cell>
          <cell r="K270">
            <v>45996</v>
          </cell>
          <cell r="L270" t="str">
            <v>Dubai</v>
          </cell>
        </row>
        <row r="271">
          <cell r="A271" t="str">
            <v>X23880457</v>
          </cell>
          <cell r="C271" t="str">
            <v>Emporio Armani - Ahmed Seddiqi &amp; Sons</v>
          </cell>
          <cell r="D271" t="str">
            <v>% Off</v>
          </cell>
          <cell r="E271">
            <v>46023</v>
          </cell>
          <cell r="F271" t="str">
            <v>31/12/2026</v>
          </cell>
          <cell r="G271" t="str">
            <v>2026 YAHALA Card - Dubai Offers</v>
          </cell>
          <cell r="H271" t="str">
            <v>a0CTi00005KB3kpMAD</v>
          </cell>
          <cell r="I271" t="str">
            <v>L26DBYACA</v>
          </cell>
          <cell r="J271" t="str">
            <v>Active</v>
          </cell>
          <cell r="K271">
            <v>45996</v>
          </cell>
          <cell r="L271" t="str">
            <v>Dubai</v>
          </cell>
        </row>
        <row r="272">
          <cell r="A272" t="str">
            <v>X21206381</v>
          </cell>
          <cell r="C272" t="str">
            <v>PAUL-Dubai</v>
          </cell>
          <cell r="D272" t="str">
            <v>% Off</v>
          </cell>
          <cell r="E272">
            <v>46023</v>
          </cell>
          <cell r="F272" t="str">
            <v>31/12/2026</v>
          </cell>
          <cell r="G272" t="str">
            <v>2026 YAHALA Card - Dubai Offers</v>
          </cell>
          <cell r="H272" t="str">
            <v>a0CTi00005KB3kpMAD</v>
          </cell>
          <cell r="I272" t="str">
            <v>L26DBYACA</v>
          </cell>
          <cell r="J272" t="str">
            <v>Active</v>
          </cell>
          <cell r="K272">
            <v>45996</v>
          </cell>
          <cell r="L272" t="str">
            <v>Dubai</v>
          </cell>
        </row>
        <row r="273">
          <cell r="A273" t="str">
            <v>X035568</v>
          </cell>
          <cell r="C273" t="str">
            <v>PULP Juice Bars</v>
          </cell>
          <cell r="D273" t="str">
            <v>% Off</v>
          </cell>
          <cell r="E273">
            <v>46023</v>
          </cell>
          <cell r="F273" t="str">
            <v>31/12/2026</v>
          </cell>
          <cell r="G273" t="str">
            <v>2026 YAHALA Card - Dubai Offers</v>
          </cell>
          <cell r="H273" t="str">
            <v>a0CTi00005KB3kpMAD</v>
          </cell>
          <cell r="I273" t="str">
            <v>L26DBYACA</v>
          </cell>
          <cell r="J273" t="str">
            <v>Active</v>
          </cell>
          <cell r="K273">
            <v>45996</v>
          </cell>
          <cell r="L273" t="str">
            <v>Dubai</v>
          </cell>
        </row>
        <row r="274">
          <cell r="A274" t="str">
            <v>X21358657</v>
          </cell>
          <cell r="C274" t="str">
            <v>Awani</v>
          </cell>
          <cell r="D274" t="str">
            <v>% Off</v>
          </cell>
          <cell r="E274">
            <v>46023</v>
          </cell>
          <cell r="F274" t="str">
            <v>31/12/2026</v>
          </cell>
          <cell r="G274" t="str">
            <v>2026 YAHALA Card - Dubai Offers</v>
          </cell>
          <cell r="H274" t="str">
            <v>a0CTi00005KB3kpMAD</v>
          </cell>
          <cell r="I274" t="str">
            <v>L26DBYACA</v>
          </cell>
          <cell r="J274" t="str">
            <v>Active</v>
          </cell>
          <cell r="K274">
            <v>45996</v>
          </cell>
          <cell r="L274" t="str">
            <v>Dubai</v>
          </cell>
        </row>
        <row r="275">
          <cell r="A275" t="str">
            <v>X22217406</v>
          </cell>
          <cell r="C275" t="str">
            <v>Home Centre</v>
          </cell>
          <cell r="D275" t="str">
            <v>% Off</v>
          </cell>
          <cell r="E275">
            <v>46023</v>
          </cell>
          <cell r="F275" t="str">
            <v>31/12/2026</v>
          </cell>
          <cell r="G275" t="str">
            <v>2026 YAHALA Card - Dubai Offers</v>
          </cell>
          <cell r="H275" t="str">
            <v>a0CTi00005KB3kpMAD</v>
          </cell>
          <cell r="I275" t="str">
            <v>L26DBYACA</v>
          </cell>
          <cell r="J275" t="str">
            <v>Active</v>
          </cell>
          <cell r="K275">
            <v>45996</v>
          </cell>
          <cell r="L275" t="str">
            <v>Dubai</v>
          </cell>
        </row>
        <row r="276">
          <cell r="A276" t="str">
            <v>X21962466</v>
          </cell>
          <cell r="C276" t="str">
            <v>MAMA'ESH</v>
          </cell>
          <cell r="D276" t="str">
            <v>% Off</v>
          </cell>
          <cell r="E276">
            <v>46023</v>
          </cell>
          <cell r="F276" t="str">
            <v>31/12/2026</v>
          </cell>
          <cell r="G276" t="str">
            <v>2026 YAHALA Card - Dubai Offers</v>
          </cell>
          <cell r="H276" t="str">
            <v>a0CTi00005KB3kpMAD</v>
          </cell>
          <cell r="I276" t="str">
            <v>L26DBYACA</v>
          </cell>
          <cell r="J276" t="str">
            <v>Active</v>
          </cell>
          <cell r="K276">
            <v>45996</v>
          </cell>
          <cell r="L276" t="str">
            <v>Dubai</v>
          </cell>
        </row>
        <row r="277">
          <cell r="A277" t="str">
            <v>X23875211</v>
          </cell>
          <cell r="C277" t="str">
            <v>The Palmery</v>
          </cell>
          <cell r="D277" t="str">
            <v>% Off</v>
          </cell>
          <cell r="E277">
            <v>46023</v>
          </cell>
          <cell r="F277" t="str">
            <v>31/12/2026</v>
          </cell>
          <cell r="G277" t="str">
            <v>2026 YAHALA Card - Dubai Offers</v>
          </cell>
          <cell r="H277" t="str">
            <v>a0CTi00005KB3kpMAD</v>
          </cell>
          <cell r="I277" t="str">
            <v>L26DBYACA</v>
          </cell>
          <cell r="J277" t="str">
            <v>Active</v>
          </cell>
          <cell r="K277">
            <v>45996</v>
          </cell>
          <cell r="L277" t="str">
            <v>Dubai</v>
          </cell>
        </row>
        <row r="278">
          <cell r="A278" t="str">
            <v>X23880207</v>
          </cell>
          <cell r="C278" t="str">
            <v>Laundry@The Towers</v>
          </cell>
          <cell r="D278" t="str">
            <v>% Off</v>
          </cell>
          <cell r="E278">
            <v>46023</v>
          </cell>
          <cell r="F278" t="str">
            <v>31/12/2026</v>
          </cell>
          <cell r="G278" t="str">
            <v>2026 YAHALA Card - Dubai Offers</v>
          </cell>
          <cell r="H278" t="str">
            <v>a0CTi00005KB3kpMAD</v>
          </cell>
          <cell r="I278" t="str">
            <v>L26DBYACA</v>
          </cell>
          <cell r="J278" t="str">
            <v>Active</v>
          </cell>
          <cell r="K278">
            <v>45996</v>
          </cell>
          <cell r="L278" t="str">
            <v>Dubai</v>
          </cell>
        </row>
        <row r="279">
          <cell r="A279" t="str">
            <v>X23880273</v>
          </cell>
          <cell r="C279" t="str">
            <v>Life Pharmacy</v>
          </cell>
          <cell r="D279" t="str">
            <v>% Off</v>
          </cell>
          <cell r="E279">
            <v>46023</v>
          </cell>
          <cell r="F279" t="str">
            <v>31/12/2026</v>
          </cell>
          <cell r="G279" t="str">
            <v>2026 YAHALA Card - Dubai Offers</v>
          </cell>
          <cell r="H279" t="str">
            <v>a0CTi00005KB3kpMAD</v>
          </cell>
          <cell r="I279" t="str">
            <v>L26DBYACA</v>
          </cell>
          <cell r="J279" t="str">
            <v>Active</v>
          </cell>
          <cell r="K279">
            <v>45996</v>
          </cell>
          <cell r="L279" t="str">
            <v>Dubai</v>
          </cell>
        </row>
        <row r="280">
          <cell r="A280" t="str">
            <v>X23880273</v>
          </cell>
          <cell r="C280" t="str">
            <v>Life Pharmacy</v>
          </cell>
          <cell r="D280" t="str">
            <v>% Off</v>
          </cell>
          <cell r="E280">
            <v>46023</v>
          </cell>
          <cell r="F280" t="str">
            <v>31/12/2026</v>
          </cell>
          <cell r="G280" t="str">
            <v>2026 YAHALA Card - Dubai Offers</v>
          </cell>
          <cell r="H280" t="str">
            <v>a0CTi00005KB3kpMAD</v>
          </cell>
          <cell r="I280" t="str">
            <v>L26DBYACA</v>
          </cell>
          <cell r="J280" t="str">
            <v>Active</v>
          </cell>
          <cell r="K280">
            <v>45996</v>
          </cell>
          <cell r="L280" t="str">
            <v>Dubai</v>
          </cell>
        </row>
        <row r="281">
          <cell r="A281" t="str">
            <v>X22074288</v>
          </cell>
          <cell r="C281" t="str">
            <v>Babyshop</v>
          </cell>
          <cell r="D281" t="str">
            <v>Package</v>
          </cell>
          <cell r="E281">
            <v>46023</v>
          </cell>
          <cell r="F281" t="str">
            <v>31/12/2026</v>
          </cell>
          <cell r="G281" t="str">
            <v>2026 YAHALA Card - Dubai Offers</v>
          </cell>
          <cell r="H281" t="str">
            <v>a0CTi00005KB3kpMAD</v>
          </cell>
          <cell r="I281" t="str">
            <v>L26DBYACA</v>
          </cell>
          <cell r="J281" t="str">
            <v>Active</v>
          </cell>
          <cell r="K281">
            <v>45996</v>
          </cell>
          <cell r="L281" t="str">
            <v>Dubai</v>
          </cell>
        </row>
        <row r="282">
          <cell r="A282" t="str">
            <v>X23895799</v>
          </cell>
          <cell r="C282" t="str">
            <v>Rockfish</v>
          </cell>
          <cell r="D282" t="str">
            <v>% Off</v>
          </cell>
          <cell r="E282">
            <v>46023</v>
          </cell>
          <cell r="F282" t="str">
            <v>31/12/2026</v>
          </cell>
          <cell r="G282" t="str">
            <v>2026 YAHALA Card - Dubai Offers</v>
          </cell>
          <cell r="H282" t="str">
            <v>a0CTi00005KB3kpMAD</v>
          </cell>
          <cell r="I282" t="str">
            <v>L26DBYACA</v>
          </cell>
          <cell r="J282" t="str">
            <v>Active</v>
          </cell>
          <cell r="K282">
            <v>45996</v>
          </cell>
          <cell r="L282" t="str">
            <v>Dubai</v>
          </cell>
        </row>
        <row r="283">
          <cell r="A283" t="str">
            <v>X23895801</v>
          </cell>
          <cell r="C283" t="str">
            <v>Al Mandhar</v>
          </cell>
          <cell r="D283" t="str">
            <v>% Off</v>
          </cell>
          <cell r="E283">
            <v>46023</v>
          </cell>
          <cell r="F283" t="str">
            <v>31/12/2026</v>
          </cell>
          <cell r="G283" t="str">
            <v>2026 YAHALA Card - Dubai Offers</v>
          </cell>
          <cell r="H283" t="str">
            <v>a0CTi00005KB3kpMAD</v>
          </cell>
          <cell r="I283" t="str">
            <v>L26DBYACA</v>
          </cell>
          <cell r="J283" t="str">
            <v>Active</v>
          </cell>
          <cell r="K283">
            <v>45996</v>
          </cell>
          <cell r="L283" t="str">
            <v>Dubai</v>
          </cell>
        </row>
        <row r="284">
          <cell r="A284" t="str">
            <v>X21972107</v>
          </cell>
          <cell r="C284" t="str">
            <v>Mundo</v>
          </cell>
          <cell r="D284" t="str">
            <v>% Off</v>
          </cell>
          <cell r="E284">
            <v>46023</v>
          </cell>
          <cell r="F284" t="str">
            <v>31/12/2026</v>
          </cell>
          <cell r="G284" t="str">
            <v>2026 YAHALA Card - Dubai Offers</v>
          </cell>
          <cell r="H284" t="str">
            <v>a0CTi00005KB3kpMAD</v>
          </cell>
          <cell r="I284" t="str">
            <v>L26DBYACA</v>
          </cell>
          <cell r="J284" t="str">
            <v>Active</v>
          </cell>
          <cell r="K284">
            <v>45996</v>
          </cell>
          <cell r="L284" t="str">
            <v>Dubai</v>
          </cell>
        </row>
        <row r="285">
          <cell r="A285" t="str">
            <v>X23895800</v>
          </cell>
          <cell r="C285" t="str">
            <v>Kayto</v>
          </cell>
          <cell r="D285" t="str">
            <v>% Off</v>
          </cell>
          <cell r="E285">
            <v>46023</v>
          </cell>
          <cell r="F285" t="str">
            <v>31/12/2026</v>
          </cell>
          <cell r="G285" t="str">
            <v>2026 YAHALA Card - Dubai Offers</v>
          </cell>
          <cell r="H285" t="str">
            <v>a0CTi00005KB3kpMAD</v>
          </cell>
          <cell r="I285" t="str">
            <v>L26DBYACA</v>
          </cell>
          <cell r="J285" t="str">
            <v>Active</v>
          </cell>
          <cell r="K285">
            <v>45996</v>
          </cell>
          <cell r="L285" t="str">
            <v>Dubai</v>
          </cell>
        </row>
        <row r="286">
          <cell r="A286" t="str">
            <v>X23892464</v>
          </cell>
          <cell r="C286" t="str">
            <v>Max</v>
          </cell>
          <cell r="D286" t="str">
            <v>% Off</v>
          </cell>
          <cell r="E286">
            <v>46023</v>
          </cell>
          <cell r="F286" t="str">
            <v>31/12/2026</v>
          </cell>
          <cell r="G286" t="str">
            <v>2026 YAHALA Card - Dubai Offers</v>
          </cell>
          <cell r="H286" t="str">
            <v>a0CTi00005KB3kpMAD</v>
          </cell>
          <cell r="I286" t="str">
            <v>L26DBYACA</v>
          </cell>
          <cell r="J286" t="str">
            <v>Active</v>
          </cell>
          <cell r="K286">
            <v>45996</v>
          </cell>
          <cell r="L286" t="str">
            <v>Dubai</v>
          </cell>
        </row>
        <row r="287">
          <cell r="A287" t="str">
            <v>X104641</v>
          </cell>
          <cell r="C287" t="str">
            <v>Dhow &amp; Anchor</v>
          </cell>
          <cell r="D287" t="str">
            <v>% Off</v>
          </cell>
          <cell r="E287">
            <v>46023</v>
          </cell>
          <cell r="F287" t="str">
            <v>31/12/2026</v>
          </cell>
          <cell r="G287" t="str">
            <v>2026 YAHALA Card - Dubai Offers</v>
          </cell>
          <cell r="H287" t="str">
            <v>a0CTi00005KB3kpMAD</v>
          </cell>
          <cell r="I287" t="str">
            <v>L26DBYACA</v>
          </cell>
          <cell r="J287" t="str">
            <v>Active</v>
          </cell>
          <cell r="K287">
            <v>45998</v>
          </cell>
          <cell r="L287" t="str">
            <v>Dubai</v>
          </cell>
        </row>
        <row r="288">
          <cell r="A288" t="str">
            <v>X036769</v>
          </cell>
          <cell r="C288" t="str">
            <v>Al Samar Lounge</v>
          </cell>
          <cell r="D288" t="str">
            <v>% Off</v>
          </cell>
          <cell r="E288">
            <v>46023</v>
          </cell>
          <cell r="F288" t="str">
            <v>31/12/2026</v>
          </cell>
          <cell r="G288" t="str">
            <v>2026 YAHALA Card - Dubai Offers</v>
          </cell>
          <cell r="H288" t="str">
            <v>a0CTi00005KB3kpMAD</v>
          </cell>
          <cell r="I288" t="str">
            <v>L26DBYACA</v>
          </cell>
          <cell r="J288" t="str">
            <v>Active</v>
          </cell>
          <cell r="K288">
            <v>45998</v>
          </cell>
          <cell r="L288" t="str">
            <v>Dubai</v>
          </cell>
        </row>
        <row r="289">
          <cell r="A289" t="str">
            <v>X036772</v>
          </cell>
          <cell r="C289" t="str">
            <v>Bahri Bar</v>
          </cell>
          <cell r="D289" t="str">
            <v>% Off</v>
          </cell>
          <cell r="E289">
            <v>46023</v>
          </cell>
          <cell r="F289" t="str">
            <v>31/12/2026</v>
          </cell>
          <cell r="G289" t="str">
            <v>2026 YAHALA Card - Dubai Offers</v>
          </cell>
          <cell r="H289" t="str">
            <v>a0CTi00005KB3kpMAD</v>
          </cell>
          <cell r="I289" t="str">
            <v>L26DBYACA</v>
          </cell>
          <cell r="J289" t="str">
            <v>Active</v>
          </cell>
          <cell r="K289">
            <v>45998</v>
          </cell>
          <cell r="L289" t="str">
            <v>Dubai</v>
          </cell>
        </row>
        <row r="290">
          <cell r="A290" t="str">
            <v>X23870285</v>
          </cell>
          <cell r="C290" t="str">
            <v>PLAY DXB</v>
          </cell>
          <cell r="D290" t="str">
            <v>% Off</v>
          </cell>
          <cell r="E290">
            <v>46023</v>
          </cell>
          <cell r="F290" t="str">
            <v>31/12/2026</v>
          </cell>
          <cell r="G290" t="str">
            <v>2026 YAHALA Card - Dubai Offers</v>
          </cell>
          <cell r="H290" t="str">
            <v>a0CTi00005KB3kpMAD</v>
          </cell>
          <cell r="I290" t="str">
            <v>L26DBYACA</v>
          </cell>
          <cell r="J290" t="str">
            <v>Active</v>
          </cell>
          <cell r="K290">
            <v>45998</v>
          </cell>
          <cell r="L290" t="str">
            <v>Dubai</v>
          </cell>
        </row>
        <row r="291">
          <cell r="A291" t="str">
            <v>X23916956</v>
          </cell>
          <cell r="C291" t="str">
            <v>Floor 24</v>
          </cell>
          <cell r="D291" t="str">
            <v>% Off</v>
          </cell>
          <cell r="E291">
            <v>46023</v>
          </cell>
          <cell r="F291" t="str">
            <v>31/12/2026</v>
          </cell>
          <cell r="G291" t="str">
            <v>2026 YAHALA Card - Dubai Offers</v>
          </cell>
          <cell r="H291" t="str">
            <v>a0CTi00005KB3kpMAD</v>
          </cell>
          <cell r="I291" t="str">
            <v>L26DBYACA</v>
          </cell>
          <cell r="J291" t="str">
            <v>Active</v>
          </cell>
          <cell r="K291">
            <v>45998</v>
          </cell>
          <cell r="L291" t="str">
            <v>Dubai</v>
          </cell>
        </row>
        <row r="292">
          <cell r="A292" t="str">
            <v>X21364637</v>
          </cell>
          <cell r="C292" t="str">
            <v>Pearl Lounge</v>
          </cell>
          <cell r="D292" t="str">
            <v>% Off</v>
          </cell>
          <cell r="E292">
            <v>46023</v>
          </cell>
          <cell r="F292" t="str">
            <v>31/12/2026</v>
          </cell>
          <cell r="G292" t="str">
            <v>2026 YAHALA Card - Dubai Offers</v>
          </cell>
          <cell r="H292" t="str">
            <v>a0CTi00005KB3kpMAD</v>
          </cell>
          <cell r="I292" t="str">
            <v>L26DBYACA</v>
          </cell>
          <cell r="J292" t="str">
            <v>Active</v>
          </cell>
          <cell r="K292">
            <v>45998</v>
          </cell>
          <cell r="L292" t="str">
            <v>Dubai</v>
          </cell>
        </row>
        <row r="293">
          <cell r="A293" t="str">
            <v>X037218</v>
          </cell>
          <cell r="C293" t="str">
            <v>Spa Zen</v>
          </cell>
          <cell r="D293" t="str">
            <v>% Off</v>
          </cell>
          <cell r="E293">
            <v>46023</v>
          </cell>
          <cell r="F293" t="str">
            <v>31/12/2026</v>
          </cell>
          <cell r="G293" t="str">
            <v>2026 YAHALA Card - Dubai Offers</v>
          </cell>
          <cell r="H293" t="str">
            <v>a0CTi00005KB3kpMAD</v>
          </cell>
          <cell r="I293" t="str">
            <v>L26DBYACA</v>
          </cell>
          <cell r="J293" t="str">
            <v>Active</v>
          </cell>
          <cell r="K293">
            <v>45998</v>
          </cell>
          <cell r="L293" t="str">
            <v>Dubai</v>
          </cell>
        </row>
        <row r="294">
          <cell r="A294" t="str">
            <v>X036542</v>
          </cell>
          <cell r="C294" t="str">
            <v>Kitchen Connection</v>
          </cell>
          <cell r="D294" t="str">
            <v>% Off</v>
          </cell>
          <cell r="E294">
            <v>46023</v>
          </cell>
          <cell r="F294" t="str">
            <v>31/12/2026</v>
          </cell>
          <cell r="G294" t="str">
            <v>2026 YAHALA Card - Dubai Offers</v>
          </cell>
          <cell r="H294" t="str">
            <v>a0CTi00005KB3kpMAD</v>
          </cell>
          <cell r="I294" t="str">
            <v>L26DBYACA</v>
          </cell>
          <cell r="J294" t="str">
            <v>Active</v>
          </cell>
          <cell r="K294">
            <v>45998</v>
          </cell>
          <cell r="L294" t="str">
            <v>Dubai</v>
          </cell>
        </row>
        <row r="295">
          <cell r="A295" t="str">
            <v>X036766</v>
          </cell>
          <cell r="C295" t="str">
            <v>Al Fayrooz Lounge</v>
          </cell>
          <cell r="D295" t="str">
            <v>% Off</v>
          </cell>
          <cell r="E295">
            <v>46023</v>
          </cell>
          <cell r="F295" t="str">
            <v>31/12/2026</v>
          </cell>
          <cell r="G295" t="str">
            <v>2026 YAHALA Card - Dubai Offers</v>
          </cell>
          <cell r="H295" t="str">
            <v>a0CTi00005KB3kpMAD</v>
          </cell>
          <cell r="I295" t="str">
            <v>L26DBYACA</v>
          </cell>
          <cell r="J295" t="str">
            <v>Active</v>
          </cell>
          <cell r="K295">
            <v>45998</v>
          </cell>
          <cell r="L295" t="str">
            <v>Dubai</v>
          </cell>
        </row>
        <row r="296">
          <cell r="A296" t="str">
            <v>X23880446</v>
          </cell>
          <cell r="C296" t="str">
            <v>Zabeel Ladies Club</v>
          </cell>
          <cell r="D296" t="str">
            <v>% Off</v>
          </cell>
          <cell r="E296">
            <v>46023</v>
          </cell>
          <cell r="F296" t="str">
            <v>31/12/2026</v>
          </cell>
          <cell r="G296" t="str">
            <v>2026 YAHALA Card - Dubai Offers</v>
          </cell>
          <cell r="H296" t="str">
            <v>a0CTi00005KB3kpMAD</v>
          </cell>
          <cell r="I296" t="str">
            <v>L26DBYACA</v>
          </cell>
          <cell r="J296" t="str">
            <v>Active</v>
          </cell>
          <cell r="K296">
            <v>45998</v>
          </cell>
          <cell r="L296" t="str">
            <v>Dubai</v>
          </cell>
        </row>
        <row r="297">
          <cell r="A297" t="str">
            <v>X23880446</v>
          </cell>
          <cell r="C297" t="str">
            <v>Zabeel Ladies Club</v>
          </cell>
          <cell r="D297" t="str">
            <v>% Off</v>
          </cell>
          <cell r="E297">
            <v>46023</v>
          </cell>
          <cell r="F297" t="str">
            <v>31/12/2026</v>
          </cell>
          <cell r="G297" t="str">
            <v>2026 YAHALA Card - Dubai Offers</v>
          </cell>
          <cell r="H297" t="str">
            <v>a0CTi00005KB3kpMAD</v>
          </cell>
          <cell r="I297" t="str">
            <v>L26DBYACA</v>
          </cell>
          <cell r="J297" t="str">
            <v>Active</v>
          </cell>
          <cell r="K297">
            <v>45998</v>
          </cell>
          <cell r="L297" t="str">
            <v>Dubai</v>
          </cell>
        </row>
        <row r="298">
          <cell r="A298" t="str">
            <v>X23880446</v>
          </cell>
          <cell r="C298" t="str">
            <v>Zabeel Ladies Club</v>
          </cell>
          <cell r="D298" t="str">
            <v>% Off</v>
          </cell>
          <cell r="E298">
            <v>46023</v>
          </cell>
          <cell r="F298" t="str">
            <v>31/12/2026</v>
          </cell>
          <cell r="G298" t="str">
            <v>2026 YAHALA Card - Dubai Offers</v>
          </cell>
          <cell r="H298" t="str">
            <v>a0CTi00005KB3kpMAD</v>
          </cell>
          <cell r="I298" t="str">
            <v>L26DBYACA</v>
          </cell>
          <cell r="J298" t="str">
            <v>Active</v>
          </cell>
          <cell r="K298">
            <v>45998</v>
          </cell>
          <cell r="L298" t="str">
            <v>Dubai</v>
          </cell>
        </row>
        <row r="299">
          <cell r="A299" t="str">
            <v>X23880446</v>
          </cell>
          <cell r="C299" t="str">
            <v>Zabeel Ladies Club</v>
          </cell>
          <cell r="D299" t="str">
            <v>% Off</v>
          </cell>
          <cell r="E299">
            <v>46023</v>
          </cell>
          <cell r="F299" t="str">
            <v>31/12/2026</v>
          </cell>
          <cell r="G299" t="str">
            <v>2026 YAHALA Card - Dubai Offers</v>
          </cell>
          <cell r="H299" t="str">
            <v>a0CTi00005KB3kpMAD</v>
          </cell>
          <cell r="I299" t="str">
            <v>L26DBYACA</v>
          </cell>
          <cell r="J299" t="str">
            <v>Active</v>
          </cell>
          <cell r="K299">
            <v>45998</v>
          </cell>
          <cell r="L299" t="str">
            <v>Dubai</v>
          </cell>
        </row>
        <row r="300">
          <cell r="A300" t="str">
            <v>X23880446</v>
          </cell>
          <cell r="C300" t="str">
            <v>Zabeel Ladies Club</v>
          </cell>
          <cell r="D300" t="str">
            <v>% Off</v>
          </cell>
          <cell r="E300">
            <v>46023</v>
          </cell>
          <cell r="F300" t="str">
            <v>31/12/2026</v>
          </cell>
          <cell r="G300" t="str">
            <v>2026 YAHALA Card - Dubai Offers</v>
          </cell>
          <cell r="H300" t="str">
            <v>a0CTi00005KB3kpMAD</v>
          </cell>
          <cell r="I300" t="str">
            <v>L26DBYACA</v>
          </cell>
          <cell r="J300" t="str">
            <v>Active</v>
          </cell>
          <cell r="K300">
            <v>45998</v>
          </cell>
          <cell r="L300" t="str">
            <v>Dubai</v>
          </cell>
        </row>
        <row r="301">
          <cell r="A301" t="str">
            <v>X036770</v>
          </cell>
          <cell r="C301" t="str">
            <v>Arboretum</v>
          </cell>
          <cell r="D301" t="str">
            <v>% Off</v>
          </cell>
          <cell r="E301">
            <v>46023</v>
          </cell>
          <cell r="F301" t="str">
            <v>31/12/2026</v>
          </cell>
          <cell r="G301" t="str">
            <v>2026 YAHALA Card - Dubai Offers</v>
          </cell>
          <cell r="H301" t="str">
            <v>a0CTi00005KB3kpMAD</v>
          </cell>
          <cell r="I301" t="str">
            <v>L26DBYACA</v>
          </cell>
          <cell r="J301" t="str">
            <v>Active</v>
          </cell>
          <cell r="K301">
            <v>45998</v>
          </cell>
          <cell r="L301" t="str">
            <v>Dubai</v>
          </cell>
        </row>
        <row r="302">
          <cell r="A302" t="str">
            <v>X23856584</v>
          </cell>
          <cell r="C302" t="str">
            <v>VOX Cinemas</v>
          </cell>
          <cell r="D302" t="str">
            <v>% Off</v>
          </cell>
          <cell r="E302">
            <v>46023</v>
          </cell>
          <cell r="F302" t="str">
            <v>31/12/2026</v>
          </cell>
          <cell r="G302" t="str">
            <v>2026 YAHALA Card - Dubai Offers</v>
          </cell>
          <cell r="H302" t="str">
            <v>a0CTi00005KB3kpMAD</v>
          </cell>
          <cell r="I302" t="str">
            <v>L26DBYACA</v>
          </cell>
          <cell r="J302" t="str">
            <v>Active</v>
          </cell>
          <cell r="K302">
            <v>45998</v>
          </cell>
          <cell r="L302" t="str">
            <v>Dubai</v>
          </cell>
        </row>
        <row r="303">
          <cell r="A303" t="str">
            <v>X23916877</v>
          </cell>
          <cell r="C303" t="str">
            <v>Fika</v>
          </cell>
          <cell r="D303" t="str">
            <v>% Off</v>
          </cell>
          <cell r="E303">
            <v>46023</v>
          </cell>
          <cell r="F303" t="str">
            <v>31/12/2026</v>
          </cell>
          <cell r="G303" t="str">
            <v>2026 YAHALA Card - Dubai Offers</v>
          </cell>
          <cell r="H303" t="str">
            <v>a0CTi00005KB3kpMAD</v>
          </cell>
          <cell r="I303" t="str">
            <v>L26DBYACA</v>
          </cell>
          <cell r="J303" t="str">
            <v>Active</v>
          </cell>
          <cell r="K303">
            <v>45998</v>
          </cell>
          <cell r="L303" t="str">
            <v>Dubai</v>
          </cell>
        </row>
        <row r="304">
          <cell r="A304" t="str">
            <v>X23892718</v>
          </cell>
          <cell r="C304" t="str">
            <v>Daefi Lobby Lounge</v>
          </cell>
          <cell r="D304" t="str">
            <v>% Off</v>
          </cell>
          <cell r="E304">
            <v>46023</v>
          </cell>
          <cell r="F304" t="str">
            <v>31/12/2026</v>
          </cell>
          <cell r="G304" t="str">
            <v>2026 YAHALA Card - Dubai Offers</v>
          </cell>
          <cell r="H304" t="str">
            <v>a0CTi00005KB3kpMAD</v>
          </cell>
          <cell r="I304" t="str">
            <v>L26DBYACA</v>
          </cell>
          <cell r="J304" t="str">
            <v>Active</v>
          </cell>
          <cell r="K304">
            <v>45998</v>
          </cell>
          <cell r="L304" t="str">
            <v>Dubai</v>
          </cell>
        </row>
        <row r="305">
          <cell r="A305" t="str">
            <v>X035990</v>
          </cell>
          <cell r="C305" t="str">
            <v>Dubai Ice Rink</v>
          </cell>
          <cell r="D305" t="str">
            <v>% Off</v>
          </cell>
          <cell r="E305">
            <v>46023</v>
          </cell>
          <cell r="F305" t="str">
            <v>31/12/2026</v>
          </cell>
          <cell r="G305" t="str">
            <v>2026 YAHALA Card - Dubai Offers</v>
          </cell>
          <cell r="H305" t="str">
            <v>a0CTi00005KB3kpMAD</v>
          </cell>
          <cell r="I305" t="str">
            <v>L26DBYACA</v>
          </cell>
          <cell r="J305" t="str">
            <v>Active</v>
          </cell>
          <cell r="K305">
            <v>45998</v>
          </cell>
          <cell r="L305" t="str">
            <v>Dubai</v>
          </cell>
        </row>
        <row r="306">
          <cell r="A306" t="str">
            <v>X23174761</v>
          </cell>
          <cell r="C306" t="str">
            <v>Raffles Dubai</v>
          </cell>
          <cell r="D306" t="str">
            <v>Package</v>
          </cell>
          <cell r="E306">
            <v>46023</v>
          </cell>
          <cell r="F306" t="str">
            <v>31/12/2026</v>
          </cell>
          <cell r="G306" t="str">
            <v>2026 YAHALA Card - Dubai Offers</v>
          </cell>
          <cell r="H306" t="str">
            <v>a0CTi00005KB3kpMAD</v>
          </cell>
          <cell r="I306" t="str">
            <v>L26DBYACA</v>
          </cell>
          <cell r="J306" t="str">
            <v>Active</v>
          </cell>
          <cell r="K306">
            <v>46000</v>
          </cell>
          <cell r="L306" t="str">
            <v>Dubai</v>
          </cell>
        </row>
        <row r="307">
          <cell r="A307" t="str">
            <v>X23143107</v>
          </cell>
          <cell r="C307" t="str">
            <v>Shangri-La Hotel Dubai</v>
          </cell>
          <cell r="D307" t="str">
            <v>Package</v>
          </cell>
          <cell r="E307">
            <v>46023</v>
          </cell>
          <cell r="F307" t="str">
            <v>31/12/2026</v>
          </cell>
          <cell r="G307" t="str">
            <v>2026 YAHALA Card - Dubai Offers</v>
          </cell>
          <cell r="H307" t="str">
            <v>a0CTi00005KB3kpMAD</v>
          </cell>
          <cell r="I307" t="str">
            <v>L26DBYACA</v>
          </cell>
          <cell r="J307" t="str">
            <v>Active</v>
          </cell>
          <cell r="K307">
            <v>46000</v>
          </cell>
          <cell r="L307" t="str">
            <v>Dubai</v>
          </cell>
        </row>
        <row r="308">
          <cell r="A308" t="str">
            <v>X23891909</v>
          </cell>
          <cell r="C308" t="str">
            <v>Al Habtoor Palace Hotel</v>
          </cell>
          <cell r="D308" t="str">
            <v>Package</v>
          </cell>
          <cell r="E308">
            <v>46023</v>
          </cell>
          <cell r="F308" t="str">
            <v>31/12/2026</v>
          </cell>
          <cell r="G308" t="str">
            <v>2026 YAHALA Card - Dubai Offers</v>
          </cell>
          <cell r="H308" t="str">
            <v>a0CTi00005KB3kpMAD</v>
          </cell>
          <cell r="I308" t="str">
            <v>L26DBYACA</v>
          </cell>
          <cell r="J308" t="str">
            <v>Active</v>
          </cell>
          <cell r="K308">
            <v>46000</v>
          </cell>
          <cell r="L308" t="str">
            <v>Dubai</v>
          </cell>
        </row>
        <row r="309">
          <cell r="A309" t="str">
            <v>X23174890</v>
          </cell>
          <cell r="C309" t="str">
            <v>Waldorf Astoria - Ras Al Khaimah</v>
          </cell>
          <cell r="D309" t="str">
            <v>Package</v>
          </cell>
          <cell r="E309">
            <v>46023</v>
          </cell>
          <cell r="F309" t="str">
            <v>31/12/2026</v>
          </cell>
          <cell r="G309" t="str">
            <v>2026 YAHALA Card - Dubai Offers</v>
          </cell>
          <cell r="H309" t="str">
            <v>a0CTi00005KB3kpMAD</v>
          </cell>
          <cell r="I309" t="str">
            <v>L26DBYACA</v>
          </cell>
          <cell r="J309" t="str">
            <v>Active</v>
          </cell>
          <cell r="K309">
            <v>46000</v>
          </cell>
          <cell r="L309" t="str">
            <v>Dubai</v>
          </cell>
        </row>
        <row r="310">
          <cell r="A310" t="str">
            <v>X23956897</v>
          </cell>
          <cell r="C310" t="str">
            <v>Pan Home</v>
          </cell>
          <cell r="D310" t="str">
            <v>% Off</v>
          </cell>
          <cell r="E310">
            <v>46023</v>
          </cell>
          <cell r="F310" t="str">
            <v>31/12/2026</v>
          </cell>
          <cell r="G310" t="str">
            <v>2026 YAHALA Card - Dubai Offers</v>
          </cell>
          <cell r="H310" t="str">
            <v>a0CTi00005KB3kpMAD</v>
          </cell>
          <cell r="I310" t="str">
            <v>L26DBYACA</v>
          </cell>
          <cell r="J310" t="str">
            <v>Active</v>
          </cell>
          <cell r="K310">
            <v>46002</v>
          </cell>
          <cell r="L310" t="str">
            <v>Dubai</v>
          </cell>
        </row>
        <row r="311">
          <cell r="A311" t="str">
            <v>X23956897</v>
          </cell>
          <cell r="C311" t="str">
            <v>Pan Home</v>
          </cell>
          <cell r="D311" t="str">
            <v>% Off</v>
          </cell>
          <cell r="E311">
            <v>46023</v>
          </cell>
          <cell r="F311" t="str">
            <v>31/12/2026</v>
          </cell>
          <cell r="G311" t="str">
            <v>2026 YAHALA Card - Dubai Offers</v>
          </cell>
          <cell r="H311" t="str">
            <v>a0CTi00005KB3kpMAD</v>
          </cell>
          <cell r="I311" t="str">
            <v>L26DBYACA</v>
          </cell>
          <cell r="J311" t="str">
            <v>Active</v>
          </cell>
          <cell r="K311">
            <v>46002</v>
          </cell>
          <cell r="L311" t="str">
            <v>Dubai</v>
          </cell>
        </row>
        <row r="312">
          <cell r="A312" t="str">
            <v>X23955726</v>
          </cell>
          <cell r="C312" t="str">
            <v>Al Nafoorah</v>
          </cell>
          <cell r="D312" t="str">
            <v>% Off</v>
          </cell>
          <cell r="E312">
            <v>46023</v>
          </cell>
          <cell r="F312" t="str">
            <v>31/12/2026</v>
          </cell>
          <cell r="G312" t="str">
            <v>2026 YAHALA Card - Dubai Offers</v>
          </cell>
          <cell r="H312" t="str">
            <v>a0CTi00005KB3kpMAD</v>
          </cell>
          <cell r="I312" t="str">
            <v>L26DBYACA</v>
          </cell>
          <cell r="J312" t="str">
            <v>Active</v>
          </cell>
          <cell r="K312">
            <v>46013</v>
          </cell>
          <cell r="L312" t="str">
            <v>Dubai</v>
          </cell>
        </row>
        <row r="313">
          <cell r="A313" t="str">
            <v>X23957715</v>
          </cell>
          <cell r="C313" t="str">
            <v>Charriol - Ahmed Seddiqi &amp; Sons</v>
          </cell>
          <cell r="D313" t="str">
            <v>% Off</v>
          </cell>
          <cell r="E313">
            <v>46023</v>
          </cell>
          <cell r="F313" t="str">
            <v>31/12/2026</v>
          </cell>
          <cell r="G313" t="str">
            <v>2026 YAHALA Card - Dubai Offers</v>
          </cell>
          <cell r="H313" t="str">
            <v>a0CTi00005KB3kpMAD</v>
          </cell>
          <cell r="I313" t="str">
            <v>L26DBYACA</v>
          </cell>
          <cell r="J313" t="str">
            <v>Active</v>
          </cell>
          <cell r="K313">
            <v>46013</v>
          </cell>
          <cell r="L313" t="str">
            <v>Dubai</v>
          </cell>
        </row>
        <row r="314">
          <cell r="A314" t="str">
            <v>X23865132</v>
          </cell>
          <cell r="C314" t="str">
            <v>Reel Cinemas</v>
          </cell>
          <cell r="D314" t="str">
            <v>% Off</v>
          </cell>
          <cell r="E314">
            <v>46023</v>
          </cell>
          <cell r="F314" t="str">
            <v>31/12/2026</v>
          </cell>
          <cell r="G314" t="str">
            <v>2026 YAHALA Card - Dubai Offers</v>
          </cell>
          <cell r="H314" t="str">
            <v>a0CTi00005KB3kpMAD</v>
          </cell>
          <cell r="I314" t="str">
            <v>L26DBYACA</v>
          </cell>
          <cell r="J314" t="str">
            <v>Active</v>
          </cell>
          <cell r="K314">
            <v>46028</v>
          </cell>
          <cell r="L314" t="str">
            <v>Dubai</v>
          </cell>
        </row>
        <row r="315">
          <cell r="A315" t="str">
            <v>X23865132</v>
          </cell>
          <cell r="C315" t="str">
            <v>Reel Cinemas</v>
          </cell>
          <cell r="D315" t="str">
            <v>% Off</v>
          </cell>
          <cell r="E315">
            <v>46023</v>
          </cell>
          <cell r="F315" t="str">
            <v>31/12/2026</v>
          </cell>
          <cell r="G315" t="str">
            <v>2026 YAHALA Card - Dubai Offers</v>
          </cell>
          <cell r="H315" t="str">
            <v>a0CTi00005KB3kpMAD</v>
          </cell>
          <cell r="I315" t="str">
            <v>L26DBYACA</v>
          </cell>
          <cell r="J315" t="str">
            <v>Active</v>
          </cell>
          <cell r="K315">
            <v>46028</v>
          </cell>
          <cell r="L315" t="str">
            <v>Dubai</v>
          </cell>
        </row>
        <row r="316">
          <cell r="A316" t="str">
            <v>X23932588</v>
          </cell>
          <cell r="C316" t="str">
            <v>The Agency Dubai</v>
          </cell>
          <cell r="D316" t="str">
            <v>% Off</v>
          </cell>
          <cell r="E316">
            <v>46023</v>
          </cell>
          <cell r="F316" t="str">
            <v>31/12/2026</v>
          </cell>
          <cell r="G316" t="str">
            <v>2026 YAHALA Card - Dubai Offers</v>
          </cell>
          <cell r="H316" t="str">
            <v>a0CTi00005KB3kpMAD</v>
          </cell>
          <cell r="I316" t="str">
            <v>L26DBYACA</v>
          </cell>
          <cell r="J316" t="str">
            <v>Active</v>
          </cell>
          <cell r="K316">
            <v>46029</v>
          </cell>
          <cell r="L316" t="str">
            <v>Dubai</v>
          </cell>
        </row>
        <row r="317">
          <cell r="A317" t="str">
            <v>X036540</v>
          </cell>
          <cell r="C317" t="str">
            <v>La Parrilla</v>
          </cell>
          <cell r="D317" t="str">
            <v>% Off</v>
          </cell>
          <cell r="E317">
            <v>46023</v>
          </cell>
          <cell r="F317" t="str">
            <v>31/12/2026</v>
          </cell>
          <cell r="G317" t="str">
            <v>2026 YAHALA Card - Dubai Offers</v>
          </cell>
          <cell r="H317" t="str">
            <v>a0CTi00005KB3kpMAD</v>
          </cell>
          <cell r="I317" t="str">
            <v>L26DBYACA</v>
          </cell>
          <cell r="J317" t="str">
            <v>Active</v>
          </cell>
          <cell r="K317">
            <v>46029</v>
          </cell>
          <cell r="L317" t="str">
            <v>Dubai</v>
          </cell>
        </row>
        <row r="318">
          <cell r="A318" t="str">
            <v>X23958011</v>
          </cell>
          <cell r="C318" t="str">
            <v>The Hide</v>
          </cell>
          <cell r="D318" t="str">
            <v>% Off</v>
          </cell>
          <cell r="E318">
            <v>46023</v>
          </cell>
          <cell r="F318" t="str">
            <v>31/12/2026</v>
          </cell>
          <cell r="G318" t="str">
            <v>2026 YAHALA Card - Dubai Offers</v>
          </cell>
          <cell r="H318" t="str">
            <v>a0CTi00005KB3kpMAD</v>
          </cell>
          <cell r="I318" t="str">
            <v>L26DBYACA</v>
          </cell>
          <cell r="J318" t="str">
            <v>Active</v>
          </cell>
          <cell r="K318">
            <v>46029</v>
          </cell>
          <cell r="L318" t="str">
            <v>Dubai</v>
          </cell>
        </row>
        <row r="319">
          <cell r="A319" t="str">
            <v>X23958002</v>
          </cell>
          <cell r="C319" t="str">
            <v>Commodore Club</v>
          </cell>
          <cell r="D319" t="str">
            <v>% Off</v>
          </cell>
          <cell r="E319">
            <v>46023</v>
          </cell>
          <cell r="F319" t="str">
            <v>31/12/2026</v>
          </cell>
          <cell r="G319" t="str">
            <v>2026 YAHALA Card - Dubai Offers</v>
          </cell>
          <cell r="H319" t="str">
            <v>a0CTi00005KB3kpMAD</v>
          </cell>
          <cell r="I319" t="str">
            <v>L26DBYACA</v>
          </cell>
          <cell r="J319" t="str">
            <v>Active</v>
          </cell>
          <cell r="K319">
            <v>46029</v>
          </cell>
          <cell r="L319" t="str">
            <v>Dubai</v>
          </cell>
        </row>
        <row r="320">
          <cell r="A320" t="str">
            <v>X23958100</v>
          </cell>
          <cell r="C320" t="str">
            <v>La Bonne Sante</v>
          </cell>
          <cell r="D320" t="str">
            <v>% Off</v>
          </cell>
          <cell r="E320">
            <v>46023</v>
          </cell>
          <cell r="F320" t="str">
            <v>31/12/2026</v>
          </cell>
          <cell r="G320" t="str">
            <v>2026 YAHALA Card - Dubai Offers</v>
          </cell>
          <cell r="H320" t="str">
            <v>a0CTi00005KB3kpMAD</v>
          </cell>
          <cell r="I320" t="str">
            <v>L26DBYACA</v>
          </cell>
          <cell r="J320" t="str">
            <v>Active</v>
          </cell>
          <cell r="K320">
            <v>46032</v>
          </cell>
          <cell r="L320" t="str">
            <v>Dubai</v>
          </cell>
        </row>
        <row r="321">
          <cell r="A321" t="str">
            <v>X23957989</v>
          </cell>
          <cell r="C321" t="str">
            <v>Kcal Lunch</v>
          </cell>
          <cell r="D321" t="str">
            <v>Package</v>
          </cell>
          <cell r="E321">
            <v>46023</v>
          </cell>
          <cell r="F321" t="str">
            <v>31/12/2026</v>
          </cell>
          <cell r="G321" t="str">
            <v>2026 YAHALA Card - Dubai Offers</v>
          </cell>
          <cell r="H321" t="str">
            <v>a0CTi00005KB3kpMAD</v>
          </cell>
          <cell r="I321" t="str">
            <v>L26DBYACA</v>
          </cell>
          <cell r="J321" t="str">
            <v>Active</v>
          </cell>
          <cell r="K321">
            <v>46034</v>
          </cell>
          <cell r="L321" t="str">
            <v>Dubai</v>
          </cell>
        </row>
        <row r="322">
          <cell r="A322" t="str">
            <v>X23957989</v>
          </cell>
          <cell r="C322" t="str">
            <v>Kcal Lunch</v>
          </cell>
          <cell r="D322" t="str">
            <v>Package</v>
          </cell>
          <cell r="E322">
            <v>46023</v>
          </cell>
          <cell r="F322" t="str">
            <v>31/12/2026</v>
          </cell>
          <cell r="G322" t="str">
            <v>2026 YAHALA Card - Dubai Offers</v>
          </cell>
          <cell r="H322" t="str">
            <v>a0CTi00005KB3kpMAD</v>
          </cell>
          <cell r="I322" t="str">
            <v>L26DBYACA</v>
          </cell>
          <cell r="J322" t="str">
            <v>Active</v>
          </cell>
          <cell r="K322">
            <v>46034</v>
          </cell>
          <cell r="L322" t="str">
            <v>Dubai</v>
          </cell>
        </row>
        <row r="323">
          <cell r="A323" t="str">
            <v>X23957989</v>
          </cell>
          <cell r="C323" t="str">
            <v>Kcal Lunch</v>
          </cell>
          <cell r="D323" t="str">
            <v>Package</v>
          </cell>
          <cell r="E323">
            <v>46023</v>
          </cell>
          <cell r="F323" t="str">
            <v>31/12/2026</v>
          </cell>
          <cell r="G323" t="str">
            <v>2026 YAHALA Card - Dubai Offers</v>
          </cell>
          <cell r="H323" t="str">
            <v>a0CTi00005KB3kpMAD</v>
          </cell>
          <cell r="I323" t="str">
            <v>L26DBYACA</v>
          </cell>
          <cell r="J323" t="str">
            <v>Active</v>
          </cell>
          <cell r="K323">
            <v>46034</v>
          </cell>
          <cell r="L323" t="str">
            <v>Dubai</v>
          </cell>
        </row>
        <row r="324">
          <cell r="A324" t="str">
            <v>X23957989</v>
          </cell>
          <cell r="C324" t="str">
            <v>Kcal Lunch</v>
          </cell>
          <cell r="D324" t="str">
            <v>% Off</v>
          </cell>
          <cell r="E324">
            <v>46023</v>
          </cell>
          <cell r="F324" t="str">
            <v>31/12/2026</v>
          </cell>
          <cell r="G324" t="str">
            <v>2026 YAHALA Card - Dubai Offers</v>
          </cell>
          <cell r="H324" t="str">
            <v>a0CTi00005KB3kpMAD</v>
          </cell>
          <cell r="I324" t="str">
            <v>L26DBYACA</v>
          </cell>
          <cell r="J324" t="str">
            <v>Active</v>
          </cell>
          <cell r="K324">
            <v>46034</v>
          </cell>
          <cell r="L324" t="str">
            <v>Dubai</v>
          </cell>
        </row>
        <row r="325">
          <cell r="A325" t="str">
            <v>X23957989</v>
          </cell>
          <cell r="C325" t="str">
            <v>Kcal Lunch</v>
          </cell>
          <cell r="D325" t="str">
            <v>% Off</v>
          </cell>
          <cell r="E325">
            <v>46023</v>
          </cell>
          <cell r="F325" t="str">
            <v>31/12/2026</v>
          </cell>
          <cell r="G325" t="str">
            <v>2026 YAHALA Card - Dubai Offers</v>
          </cell>
          <cell r="H325" t="str">
            <v>a0CTi00005KB3kpMAD</v>
          </cell>
          <cell r="I325" t="str">
            <v>L26DBYACA</v>
          </cell>
          <cell r="J325" t="str">
            <v>Active</v>
          </cell>
          <cell r="K325">
            <v>46034</v>
          </cell>
          <cell r="L325" t="str">
            <v>Dubai</v>
          </cell>
        </row>
        <row r="326">
          <cell r="A326" t="str">
            <v>X23957989</v>
          </cell>
          <cell r="C326" t="str">
            <v>Kcal Lunch</v>
          </cell>
          <cell r="D326" t="str">
            <v>% Off</v>
          </cell>
          <cell r="E326">
            <v>46023</v>
          </cell>
          <cell r="F326" t="str">
            <v>31/12/2026</v>
          </cell>
          <cell r="G326" t="str">
            <v>2026 YAHALA Card - Dubai Offers</v>
          </cell>
          <cell r="H326" t="str">
            <v>a0CTi00005KB3kpMAD</v>
          </cell>
          <cell r="I326" t="str">
            <v>L26DBYACA</v>
          </cell>
          <cell r="J326" t="str">
            <v>Active</v>
          </cell>
          <cell r="K326">
            <v>46034</v>
          </cell>
          <cell r="L326" t="str">
            <v>Dubai</v>
          </cell>
        </row>
        <row r="327">
          <cell r="A327" t="str">
            <v>X23939769</v>
          </cell>
          <cell r="C327" t="str">
            <v>Haditi</v>
          </cell>
          <cell r="D327" t="str">
            <v>% Off</v>
          </cell>
          <cell r="E327">
            <v>46023</v>
          </cell>
          <cell r="F327" t="str">
            <v>31/12/2026</v>
          </cell>
          <cell r="G327" t="str">
            <v>2026 YAHALA Card - Dubai Offers</v>
          </cell>
          <cell r="H327" t="str">
            <v>a0CTi00005KB3kpMAD</v>
          </cell>
          <cell r="I327" t="str">
            <v>L26DBYACA</v>
          </cell>
          <cell r="J327" t="str">
            <v>Active</v>
          </cell>
          <cell r="K327">
            <v>46034</v>
          </cell>
          <cell r="L327" t="str">
            <v>Dubai</v>
          </cell>
        </row>
        <row r="328">
          <cell r="A328" t="str">
            <v>X23958315</v>
          </cell>
          <cell r="C328" t="str">
            <v>Healthy Kitchen</v>
          </cell>
          <cell r="D328" t="str">
            <v>% Off</v>
          </cell>
          <cell r="E328">
            <v>46023</v>
          </cell>
          <cell r="F328" t="str">
            <v>31/12/2026</v>
          </cell>
          <cell r="G328" t="str">
            <v>2026 YAHALA Card - Dubai Offers</v>
          </cell>
          <cell r="H328" t="str">
            <v>a0CTi00005KB3kpMAD</v>
          </cell>
          <cell r="I328" t="str">
            <v>L26DBYACA</v>
          </cell>
          <cell r="J328" t="str">
            <v>Active</v>
          </cell>
          <cell r="K328">
            <v>46049</v>
          </cell>
          <cell r="L328" t="str">
            <v>Dubai</v>
          </cell>
        </row>
        <row r="329">
          <cell r="A329" t="str">
            <v>X23958312</v>
          </cell>
          <cell r="C329" t="str">
            <v>Maison Sante Clinic</v>
          </cell>
          <cell r="D329" t="str">
            <v>% Off</v>
          </cell>
          <cell r="E329">
            <v>46023</v>
          </cell>
          <cell r="F329" t="str">
            <v>31/12/2026</v>
          </cell>
          <cell r="G329" t="str">
            <v>2026 YAHALA Card - Dubai Offers</v>
          </cell>
          <cell r="H329" t="str">
            <v>a0CTi00005KB3kpMAD</v>
          </cell>
          <cell r="I329" t="str">
            <v>L26DBYACA</v>
          </cell>
          <cell r="J329" t="str">
            <v>Active</v>
          </cell>
          <cell r="K329">
            <v>46049</v>
          </cell>
          <cell r="L329" t="str">
            <v>Dubai</v>
          </cell>
        </row>
        <row r="330">
          <cell r="A330" t="str">
            <v>X23913582</v>
          </cell>
          <cell r="C330" t="str">
            <v>LEGOLAND® Dubai</v>
          </cell>
          <cell r="D330" t="str">
            <v>% Off</v>
          </cell>
          <cell r="E330">
            <v>46023</v>
          </cell>
          <cell r="F330" t="str">
            <v>31/12/2026</v>
          </cell>
          <cell r="G330" t="str">
            <v>2026 YAHALA Card - Dubai Offers</v>
          </cell>
          <cell r="H330" t="str">
            <v>a0CTi00005KB3kpMAD</v>
          </cell>
          <cell r="I330" t="str">
            <v>L26DBYACA</v>
          </cell>
          <cell r="J330" t="str">
            <v>Active</v>
          </cell>
          <cell r="K330">
            <v>46056</v>
          </cell>
          <cell r="L330" t="str">
            <v>Dubai</v>
          </cell>
        </row>
        <row r="331">
          <cell r="A331" t="str">
            <v>X23940952</v>
          </cell>
          <cell r="C331" t="str">
            <v>Neon Galaxy</v>
          </cell>
          <cell r="D331" t="str">
            <v>% Off</v>
          </cell>
          <cell r="E331">
            <v>46023</v>
          </cell>
          <cell r="F331" t="str">
            <v>31/12/2026</v>
          </cell>
          <cell r="G331" t="str">
            <v>2026 YAHALA Card - Dubai Offers</v>
          </cell>
          <cell r="H331" t="str">
            <v>a0CTi00005KB3kpMAD</v>
          </cell>
          <cell r="I331" t="str">
            <v>L26DBYACA</v>
          </cell>
          <cell r="J331" t="str">
            <v>Active</v>
          </cell>
          <cell r="K331">
            <v>46056</v>
          </cell>
          <cell r="L331" t="str">
            <v>Dubai</v>
          </cell>
        </row>
        <row r="332">
          <cell r="A332" t="str">
            <v>X23958307</v>
          </cell>
          <cell r="C332" t="str">
            <v>T-Rex Glamping</v>
          </cell>
          <cell r="D332" t="str">
            <v>% Off</v>
          </cell>
          <cell r="E332">
            <v>46023</v>
          </cell>
          <cell r="F332" t="str">
            <v>31/12/2026</v>
          </cell>
          <cell r="G332" t="str">
            <v>2026 YAHALA Card - Dubai Offers</v>
          </cell>
          <cell r="H332" t="str">
            <v>a0CTi00005KB3kpMAD</v>
          </cell>
          <cell r="I332" t="str">
            <v>L26DBYACA</v>
          </cell>
          <cell r="J332" t="str">
            <v>Active</v>
          </cell>
          <cell r="K332">
            <v>46056</v>
          </cell>
          <cell r="L332" t="str">
            <v>Dubai</v>
          </cell>
        </row>
        <row r="333">
          <cell r="A333" t="str">
            <v>X23949739</v>
          </cell>
          <cell r="C333" t="str">
            <v>LEGOLAND® Water Park, Dubai</v>
          </cell>
          <cell r="D333" t="str">
            <v>% Off</v>
          </cell>
          <cell r="E333">
            <v>46023</v>
          </cell>
          <cell r="F333" t="str">
            <v>31/12/2026</v>
          </cell>
          <cell r="G333" t="str">
            <v>2026 YAHALA Card - Dubai Offers</v>
          </cell>
          <cell r="H333" t="str">
            <v>a0CTi00005KB3kpMAD</v>
          </cell>
          <cell r="I333" t="str">
            <v>L26DBYACA</v>
          </cell>
          <cell r="J333" t="str">
            <v>Active</v>
          </cell>
          <cell r="K333">
            <v>46056</v>
          </cell>
          <cell r="L333" t="str">
            <v>Dubai</v>
          </cell>
        </row>
        <row r="334">
          <cell r="A334" t="str">
            <v>X23913579</v>
          </cell>
          <cell r="C334" t="str">
            <v>MOTIONGATE™ Dubai</v>
          </cell>
          <cell r="D334" t="str">
            <v>% Off</v>
          </cell>
          <cell r="E334">
            <v>46023</v>
          </cell>
          <cell r="F334" t="str">
            <v>31/12/2026</v>
          </cell>
          <cell r="G334" t="str">
            <v>2026 YAHALA Card - Dubai Offers</v>
          </cell>
          <cell r="H334" t="str">
            <v>a0CTi00005KB3kpMAD</v>
          </cell>
          <cell r="I334" t="str">
            <v>L26DBYACA</v>
          </cell>
          <cell r="J334" t="str">
            <v>Active</v>
          </cell>
          <cell r="K334">
            <v>46056</v>
          </cell>
          <cell r="L334" t="str">
            <v>Dubai</v>
          </cell>
        </row>
        <row r="335">
          <cell r="A335" t="str">
            <v>X23944456</v>
          </cell>
          <cell r="C335" t="str">
            <v>Real Madrid World</v>
          </cell>
          <cell r="D335" t="str">
            <v>% Off</v>
          </cell>
          <cell r="E335">
            <v>46023</v>
          </cell>
          <cell r="F335" t="str">
            <v>31/12/2026</v>
          </cell>
          <cell r="G335" t="str">
            <v>2026 YAHALA Card - Dubai Offers</v>
          </cell>
          <cell r="H335" t="str">
            <v>a0CTi00005KB3kpMAD</v>
          </cell>
          <cell r="I335" t="str">
            <v>L26DBYACA</v>
          </cell>
          <cell r="J335" t="str">
            <v>Active</v>
          </cell>
          <cell r="K335">
            <v>46070</v>
          </cell>
          <cell r="L335" t="str">
            <v>Dubai</v>
          </cell>
        </row>
        <row r="336">
          <cell r="A336" t="str">
            <v>X23958843</v>
          </cell>
          <cell r="C336" t="str">
            <v>Ebarza - Dubai</v>
          </cell>
          <cell r="D336" t="str">
            <v>% Off</v>
          </cell>
          <cell r="E336">
            <v>46023</v>
          </cell>
          <cell r="F336" t="str">
            <v>31/12/2026</v>
          </cell>
          <cell r="G336" t="str">
            <v>2026 YAHALA Card - Dubai Offers</v>
          </cell>
          <cell r="H336" t="str">
            <v>a0CTi00005KB3kpMAD</v>
          </cell>
          <cell r="I336" t="str">
            <v>L26DBYACA</v>
          </cell>
          <cell r="J336" t="str">
            <v>Active</v>
          </cell>
          <cell r="K336">
            <v>46079</v>
          </cell>
          <cell r="L336" t="str">
            <v>Dubai</v>
          </cell>
        </row>
        <row r="337">
          <cell r="A337" t="str">
            <v>X23958843</v>
          </cell>
          <cell r="C337" t="str">
            <v>Ebarza - Dubai</v>
          </cell>
          <cell r="D337" t="str">
            <v>% Off</v>
          </cell>
          <cell r="E337">
            <v>46023</v>
          </cell>
          <cell r="F337" t="str">
            <v>31/12/2026</v>
          </cell>
          <cell r="G337" t="str">
            <v>2026 YAHALA Card - Dubai Offers</v>
          </cell>
          <cell r="H337" t="str">
            <v>a0CTi00005KB3kpMAD</v>
          </cell>
          <cell r="I337" t="str">
            <v>L26DBYACA</v>
          </cell>
          <cell r="J337" t="str">
            <v>Active</v>
          </cell>
          <cell r="K337">
            <v>46079</v>
          </cell>
          <cell r="L337" t="str">
            <v>Dubai</v>
          </cell>
        </row>
        <row r="338">
          <cell r="A338" t="str">
            <v>X23958843</v>
          </cell>
          <cell r="C338" t="str">
            <v>Ebarza - Dubai</v>
          </cell>
          <cell r="D338" t="str">
            <v>% Off</v>
          </cell>
          <cell r="E338">
            <v>46023</v>
          </cell>
          <cell r="F338" t="str">
            <v>31/12/2026</v>
          </cell>
          <cell r="G338" t="str">
            <v>2026 YAHALA Card - Dubai Offers</v>
          </cell>
          <cell r="H338" t="str">
            <v>a0CTi00005KB3kpMAD</v>
          </cell>
          <cell r="I338" t="str">
            <v>L26DBYACA</v>
          </cell>
          <cell r="J338" t="str">
            <v>Active</v>
          </cell>
          <cell r="K338">
            <v>46079</v>
          </cell>
          <cell r="L338" t="str">
            <v>Dubai</v>
          </cell>
        </row>
        <row r="339">
          <cell r="A339" t="str">
            <v>X23959690</v>
          </cell>
          <cell r="C339" t="str">
            <v>Somewhere Restaurant - Dubai</v>
          </cell>
          <cell r="D339" t="str">
            <v>% Off</v>
          </cell>
          <cell r="E339">
            <v>46023</v>
          </cell>
          <cell r="F339" t="str">
            <v>31/12/2026</v>
          </cell>
          <cell r="G339" t="str">
            <v>2026 YAHALA Card - Dubai Offers</v>
          </cell>
          <cell r="H339" t="str">
            <v>a0CTi00005KB3kpMAD</v>
          </cell>
          <cell r="I339" t="str">
            <v>L26DBYACA</v>
          </cell>
          <cell r="J339" t="str">
            <v>Active</v>
          </cell>
          <cell r="K339">
            <v>46120</v>
          </cell>
          <cell r="L339" t="str">
            <v>Dubai</v>
          </cell>
        </row>
        <row r="340">
          <cell r="A340" t="str">
            <v>X23959675</v>
          </cell>
          <cell r="C340" t="str">
            <v>Salt - Dubai</v>
          </cell>
          <cell r="D340" t="str">
            <v>% Off</v>
          </cell>
          <cell r="E340">
            <v>46023</v>
          </cell>
          <cell r="F340" t="str">
            <v>31/12/2026</v>
          </cell>
          <cell r="G340" t="str">
            <v>2026 YAHALA Card - Dubai Offers</v>
          </cell>
          <cell r="H340" t="str">
            <v>a0CTi00005KB3kpMAD</v>
          </cell>
          <cell r="I340" t="str">
            <v>L26DBYACA</v>
          </cell>
          <cell r="J340" t="str">
            <v>Active</v>
          </cell>
          <cell r="K340">
            <v>46120</v>
          </cell>
          <cell r="L340" t="str">
            <v>Dubai</v>
          </cell>
        </row>
        <row r="341">
          <cell r="A341" t="str">
            <v>X23959702</v>
          </cell>
          <cell r="C341" t="str">
            <v>Shalwa</v>
          </cell>
          <cell r="D341" t="str">
            <v>% Off</v>
          </cell>
          <cell r="E341">
            <v>46023</v>
          </cell>
          <cell r="F341" t="str">
            <v>31/12/2026</v>
          </cell>
          <cell r="G341" t="str">
            <v>2026 YAHALA Card - Dubai Offers</v>
          </cell>
          <cell r="H341" t="str">
            <v>a0CTi00005KB3kpMAD</v>
          </cell>
          <cell r="I341" t="str">
            <v>L26DBYACA</v>
          </cell>
          <cell r="J341" t="str">
            <v>Active</v>
          </cell>
          <cell r="K341">
            <v>46120</v>
          </cell>
          <cell r="L341" t="str">
            <v>Dubai</v>
          </cell>
        </row>
        <row r="342">
          <cell r="A342" t="str">
            <v>X23959684</v>
          </cell>
          <cell r="C342" t="str">
            <v>Parker’s - Dubai</v>
          </cell>
          <cell r="D342" t="str">
            <v>% Off</v>
          </cell>
          <cell r="E342">
            <v>46023</v>
          </cell>
          <cell r="F342" t="str">
            <v>31/12/2026</v>
          </cell>
          <cell r="G342" t="str">
            <v>2026 YAHALA Card - Dubai Offers</v>
          </cell>
          <cell r="H342" t="str">
            <v>a0CTi00005KB3kpMAD</v>
          </cell>
          <cell r="I342" t="str">
            <v>L26DBYACA</v>
          </cell>
          <cell r="J342" t="str">
            <v>Active</v>
          </cell>
          <cell r="K342">
            <v>46120</v>
          </cell>
          <cell r="L342" t="str">
            <v>Dubai</v>
          </cell>
        </row>
        <row r="343">
          <cell r="A343" t="str">
            <v>X23959706</v>
          </cell>
          <cell r="C343" t="str">
            <v>Kumo</v>
          </cell>
          <cell r="D343" t="str">
            <v>% Off</v>
          </cell>
          <cell r="E343">
            <v>46023</v>
          </cell>
          <cell r="F343" t="str">
            <v>31/12/2026</v>
          </cell>
          <cell r="G343" t="str">
            <v>2026 YAHALA Card - Dubai Offers</v>
          </cell>
          <cell r="H343" t="str">
            <v>a0CTi00005KB3kpMAD</v>
          </cell>
          <cell r="I343" t="str">
            <v>L26DBYACA</v>
          </cell>
          <cell r="J343" t="str">
            <v>Active</v>
          </cell>
          <cell r="K343">
            <v>46120</v>
          </cell>
          <cell r="L343" t="str">
            <v>Dubai</v>
          </cell>
        </row>
        <row r="344">
          <cell r="A344" t="str">
            <v>X23959696</v>
          </cell>
          <cell r="C344" t="str">
            <v>Public Restaurant - Dubai</v>
          </cell>
          <cell r="D344" t="str">
            <v>% Off</v>
          </cell>
          <cell r="E344">
            <v>46023</v>
          </cell>
          <cell r="F344" t="str">
            <v>31/12/2026</v>
          </cell>
          <cell r="G344" t="str">
            <v>2026 YAHALA Card - Dubai Offers</v>
          </cell>
          <cell r="H344" t="str">
            <v>a0CTi00005KB3kpMAD</v>
          </cell>
          <cell r="I344" t="str">
            <v>L26DBYACA</v>
          </cell>
          <cell r="J344" t="str">
            <v>Active</v>
          </cell>
          <cell r="K344">
            <v>46120</v>
          </cell>
          <cell r="L344" t="str">
            <v>Dubai</v>
          </cell>
        </row>
        <row r="345">
          <cell r="A345" t="str">
            <v>X23960226</v>
          </cell>
          <cell r="C345" t="str">
            <v>Padel Pro Al Quoz</v>
          </cell>
          <cell r="D345" t="str">
            <v>% Off</v>
          </cell>
          <cell r="E345">
            <v>46023</v>
          </cell>
          <cell r="F345" t="str">
            <v>31/12/2026</v>
          </cell>
          <cell r="G345" t="str">
            <v>2026 YAHALA Card - Dubai Offers</v>
          </cell>
          <cell r="H345" t="str">
            <v>a0CTi00005KB3kpMAD</v>
          </cell>
          <cell r="I345" t="str">
            <v>L26DBYACA</v>
          </cell>
          <cell r="J345" t="str">
            <v>Active</v>
          </cell>
          <cell r="K345">
            <v>46141</v>
          </cell>
          <cell r="L345" t="str">
            <v>Dubai</v>
          </cell>
        </row>
        <row r="346">
          <cell r="A346" t="str">
            <v>X23960226</v>
          </cell>
          <cell r="C346" t="str">
            <v>Padel Pro Al Quoz</v>
          </cell>
          <cell r="D346" t="str">
            <v>% Off</v>
          </cell>
          <cell r="E346">
            <v>46023</v>
          </cell>
          <cell r="F346" t="str">
            <v>31/12/2026</v>
          </cell>
          <cell r="G346" t="str">
            <v>2026 YAHALA Card - Dubai Offers</v>
          </cell>
          <cell r="H346" t="str">
            <v>a0CTi00005KB3kpMAD</v>
          </cell>
          <cell r="I346" t="str">
            <v>L26DBYACA</v>
          </cell>
          <cell r="J346" t="str">
            <v>Active</v>
          </cell>
          <cell r="K346">
            <v>46141</v>
          </cell>
          <cell r="L346" t="str">
            <v>Dubai</v>
          </cell>
        </row>
        <row r="347">
          <cell r="A347" t="str">
            <v>X23960224</v>
          </cell>
          <cell r="C347" t="str">
            <v>Padel Pro One Central</v>
          </cell>
          <cell r="D347" t="str">
            <v>% Off</v>
          </cell>
          <cell r="E347">
            <v>46023</v>
          </cell>
          <cell r="F347" t="str">
            <v>31/12/2026</v>
          </cell>
          <cell r="G347" t="str">
            <v>2026 YAHALA Card - Dubai Offers</v>
          </cell>
          <cell r="H347" t="str">
            <v>a0CTi00005KB3kpMAD</v>
          </cell>
          <cell r="I347" t="str">
            <v>L26DBYACA</v>
          </cell>
          <cell r="J347" t="str">
            <v>Active</v>
          </cell>
          <cell r="K347">
            <v>46141</v>
          </cell>
          <cell r="L347" t="str">
            <v>Dubai</v>
          </cell>
        </row>
        <row r="348">
          <cell r="A348" t="str">
            <v>X23960224</v>
          </cell>
          <cell r="C348" t="str">
            <v>Padel Pro One Central</v>
          </cell>
          <cell r="D348" t="str">
            <v>% Off</v>
          </cell>
          <cell r="E348">
            <v>46023</v>
          </cell>
          <cell r="F348" t="str">
            <v>31/12/2026</v>
          </cell>
          <cell r="G348" t="str">
            <v>2026 YAHALA Card - Dubai Offers</v>
          </cell>
          <cell r="H348" t="str">
            <v>a0CTi00005KB3kpMAD</v>
          </cell>
          <cell r="I348" t="str">
            <v>L26DBYACA</v>
          </cell>
          <cell r="J348" t="str">
            <v>Active</v>
          </cell>
          <cell r="K348">
            <v>46141</v>
          </cell>
          <cell r="L348" t="str">
            <v>Dubai</v>
          </cell>
        </row>
        <row r="349">
          <cell r="A349" t="str">
            <v>X23960218</v>
          </cell>
          <cell r="C349" t="str">
            <v>Babbler's Cafe</v>
          </cell>
          <cell r="D349" t="str">
            <v>% Off</v>
          </cell>
          <cell r="E349">
            <v>46023</v>
          </cell>
          <cell r="F349" t="str">
            <v>31/12/2026</v>
          </cell>
          <cell r="G349" t="str">
            <v>2026 YAHALA Card - Dubai Offers</v>
          </cell>
          <cell r="H349" t="str">
            <v>a0CTi00005KB3kpMAD</v>
          </cell>
          <cell r="I349" t="str">
            <v>L26DBYACA</v>
          </cell>
          <cell r="J349" t="str">
            <v>Active</v>
          </cell>
          <cell r="K349">
            <v>46141</v>
          </cell>
          <cell r="L349" t="str">
            <v>Dubai</v>
          </cell>
        </row>
        <row r="350">
          <cell r="A350" t="str">
            <v>X23960222</v>
          </cell>
          <cell r="C350" t="str">
            <v>OAK Pilates Studio</v>
          </cell>
          <cell r="D350" t="str">
            <v>% Off</v>
          </cell>
          <cell r="E350">
            <v>46023</v>
          </cell>
          <cell r="F350" t="str">
            <v>31/12/2026</v>
          </cell>
          <cell r="G350" t="str">
            <v>2026 YAHALA Card - Dubai Offers</v>
          </cell>
          <cell r="H350" t="str">
            <v>a0CTi00005KB3kpMAD</v>
          </cell>
          <cell r="I350" t="str">
            <v>L26DBYACA</v>
          </cell>
          <cell r="J350" t="str">
            <v>Active</v>
          </cell>
          <cell r="K350">
            <v>46141</v>
          </cell>
          <cell r="L350" t="str">
            <v>Dubai</v>
          </cell>
        </row>
        <row r="351">
          <cell r="A351" t="str">
            <v>X23960220</v>
          </cell>
          <cell r="C351" t="str">
            <v>Tru Beauty Lounge</v>
          </cell>
          <cell r="D351" t="str">
            <v>% Off</v>
          </cell>
          <cell r="E351">
            <v>46023</v>
          </cell>
          <cell r="F351" t="str">
            <v>31/12/2026</v>
          </cell>
          <cell r="G351" t="str">
            <v>2026 YAHALA Card - Dubai Offers</v>
          </cell>
          <cell r="H351" t="str">
            <v>a0CTi00005KB3kpMAD</v>
          </cell>
          <cell r="I351" t="str">
            <v>L26DBYACA</v>
          </cell>
          <cell r="J351" t="str">
            <v>Active</v>
          </cell>
          <cell r="K351">
            <v>46141</v>
          </cell>
          <cell r="L351" t="str">
            <v>Dubai</v>
          </cell>
        </row>
        <row r="352">
          <cell r="A352" t="str">
            <v>X23960216</v>
          </cell>
          <cell r="C352" t="str">
            <v>Edge</v>
          </cell>
          <cell r="D352" t="str">
            <v>% Off</v>
          </cell>
          <cell r="E352">
            <v>46023</v>
          </cell>
          <cell r="F352" t="str">
            <v>31/12/2026</v>
          </cell>
          <cell r="G352" t="str">
            <v>2026 YAHALA Card - Dubai Offers</v>
          </cell>
          <cell r="H352" t="str">
            <v>a0CTi00005KB3kpMAD</v>
          </cell>
          <cell r="I352" t="str">
            <v>L26DBYACA</v>
          </cell>
          <cell r="J352" t="str">
            <v>Active</v>
          </cell>
          <cell r="K352">
            <v>46141</v>
          </cell>
          <cell r="L352" t="str">
            <v>Dubai</v>
          </cell>
        </row>
        <row r="353">
          <cell r="A353" t="str">
            <v>X23960216</v>
          </cell>
          <cell r="C353" t="str">
            <v>Edge</v>
          </cell>
          <cell r="D353" t="str">
            <v>% Off</v>
          </cell>
          <cell r="E353">
            <v>46023</v>
          </cell>
          <cell r="F353" t="str">
            <v>31/12/2026</v>
          </cell>
          <cell r="G353" t="str">
            <v>2026 YAHALA Card - Dubai Offers</v>
          </cell>
          <cell r="H353" t="str">
            <v>a0CTi00005KB3kpMAD</v>
          </cell>
          <cell r="I353" t="str">
            <v>L26DBYACA</v>
          </cell>
          <cell r="J353" t="str">
            <v>Active</v>
          </cell>
          <cell r="K353">
            <v>46141</v>
          </cell>
          <cell r="L353" t="str">
            <v>Dubai</v>
          </cell>
        </row>
        <row r="354">
          <cell r="A354" t="str">
            <v>X23960272</v>
          </cell>
          <cell r="C354" t="str">
            <v>FBMI</v>
          </cell>
          <cell r="D354" t="str">
            <v>% Off</v>
          </cell>
          <cell r="E354">
            <v>46023</v>
          </cell>
          <cell r="F354" t="str">
            <v>31/12/2026</v>
          </cell>
          <cell r="G354" t="str">
            <v>2026 YAHALA Card - Dubai Offers</v>
          </cell>
          <cell r="H354" t="str">
            <v>a0CTi00005KB3kpMAD</v>
          </cell>
          <cell r="I354" t="str">
            <v>L26DBYACA</v>
          </cell>
          <cell r="J354" t="str">
            <v>Active</v>
          </cell>
          <cell r="K354">
            <v>46141</v>
          </cell>
          <cell r="L354" t="str">
            <v>Dubai</v>
          </cell>
        </row>
        <row r="355">
          <cell r="A355" t="str">
            <v>X23960347</v>
          </cell>
          <cell r="C355" t="str">
            <v>Klei Spa</v>
          </cell>
          <cell r="D355" t="str">
            <v>% Off</v>
          </cell>
          <cell r="E355">
            <v>46023</v>
          </cell>
          <cell r="F355" t="str">
            <v>31/12/2026</v>
          </cell>
          <cell r="G355" t="str">
            <v>2026 YAHALA Card - Dubai Offers</v>
          </cell>
          <cell r="H355" t="str">
            <v>a0CTi00005KB3kpMAD</v>
          </cell>
          <cell r="I355" t="str">
            <v>L26DBYACA</v>
          </cell>
          <cell r="J355" t="str">
            <v>Active</v>
          </cell>
          <cell r="K355">
            <v>46147</v>
          </cell>
          <cell r="L355" t="str">
            <v>Dubai</v>
          </cell>
        </row>
        <row r="356">
          <cell r="A356" t="str">
            <v>X23960345</v>
          </cell>
          <cell r="C356" t="str">
            <v>Noiro Cafe</v>
          </cell>
          <cell r="D356" t="str">
            <v>% Off</v>
          </cell>
          <cell r="E356">
            <v>46023</v>
          </cell>
          <cell r="F356" t="str">
            <v>31/12/2026</v>
          </cell>
          <cell r="G356" t="str">
            <v>2026 YAHALA Card - Dubai Offers</v>
          </cell>
          <cell r="H356" t="str">
            <v>a0CTi00005KB3kpMAD</v>
          </cell>
          <cell r="I356" t="str">
            <v>L26DBYACA</v>
          </cell>
          <cell r="J356" t="str">
            <v>Active</v>
          </cell>
          <cell r="K356">
            <v>46147</v>
          </cell>
          <cell r="L356" t="str">
            <v>Dubai</v>
          </cell>
        </row>
        <row r="357">
          <cell r="A357" t="str">
            <v>X23960390</v>
          </cell>
          <cell r="C357" t="str">
            <v>B180 Caps</v>
          </cell>
          <cell r="D357" t="str">
            <v>% Off</v>
          </cell>
          <cell r="E357">
            <v>46023</v>
          </cell>
          <cell r="F357" t="str">
            <v>31/12/2026</v>
          </cell>
          <cell r="G357" t="str">
            <v>2026 YAHALA Card - Dubai Offers</v>
          </cell>
          <cell r="H357" t="str">
            <v>a0CTi00005KB3kpMAD</v>
          </cell>
          <cell r="I357" t="str">
            <v>L26DBYACA</v>
          </cell>
          <cell r="J357" t="str">
            <v>Active</v>
          </cell>
          <cell r="K357">
            <v>46148</v>
          </cell>
          <cell r="L357" t="str">
            <v>Dubai</v>
          </cell>
        </row>
        <row r="358">
          <cell r="A358" t="str">
            <v>X23960537</v>
          </cell>
          <cell r="C358" t="str">
            <v>Gigi Studio</v>
          </cell>
          <cell r="D358" t="str">
            <v>% Off</v>
          </cell>
          <cell r="E358">
            <v>46023</v>
          </cell>
          <cell r="F358" t="str">
            <v>31/12/2026</v>
          </cell>
          <cell r="G358" t="str">
            <v>2026 YAHALA Card - Dubai Offers</v>
          </cell>
          <cell r="H358" t="str">
            <v>a0CTi00005KB3kpMAD</v>
          </cell>
          <cell r="I358" t="str">
            <v>L26DBYACA</v>
          </cell>
          <cell r="J358" t="str">
            <v>Active</v>
          </cell>
          <cell r="K358">
            <v>46153</v>
          </cell>
          <cell r="L358" t="str">
            <v>Dubai</v>
          </cell>
        </row>
        <row r="359">
          <cell r="A359" t="str">
            <v>X23960351</v>
          </cell>
          <cell r="C359" t="str">
            <v>MARIAM AL REMEITHI</v>
          </cell>
          <cell r="D359" t="str">
            <v>% Off</v>
          </cell>
          <cell r="E359">
            <v>46023</v>
          </cell>
          <cell r="F359" t="str">
            <v>31/12/2026</v>
          </cell>
          <cell r="G359" t="str">
            <v>2026 YAHALA Card - Dubai Offers</v>
          </cell>
          <cell r="H359" t="str">
            <v>a0CTi00005KB3kpMAD</v>
          </cell>
          <cell r="I359" t="str">
            <v>L26DBYACA</v>
          </cell>
          <cell r="J359" t="str">
            <v>Active</v>
          </cell>
          <cell r="K359">
            <v>46156</v>
          </cell>
          <cell r="L359" t="str">
            <v>Dubai</v>
          </cell>
        </row>
        <row r="360">
          <cell r="A360" t="str">
            <v>X23960772</v>
          </cell>
          <cell r="C360" t="str">
            <v>Galia Fahd Fashion Designer</v>
          </cell>
          <cell r="D360" t="str">
            <v>% Off</v>
          </cell>
          <cell r="E360">
            <v>46023</v>
          </cell>
          <cell r="F360" t="str">
            <v>31/12/2026</v>
          </cell>
          <cell r="G360" t="str">
            <v>2026 YAHALA Card - Dubai Offers</v>
          </cell>
          <cell r="H360" t="str">
            <v>a0CTi00005KB3kpMAD</v>
          </cell>
          <cell r="I360" t="str">
            <v>L26DBYACA</v>
          </cell>
          <cell r="J360" t="str">
            <v>Active</v>
          </cell>
          <cell r="K360">
            <v>46164</v>
          </cell>
          <cell r="L360" t="str">
            <v>Dubai</v>
          </cell>
        </row>
        <row r="361">
          <cell r="A361" t="str">
            <v>X23960772</v>
          </cell>
          <cell r="C361" t="str">
            <v>Galia Fahd Fashion Designer</v>
          </cell>
          <cell r="D361" t="str">
            <v>% Off</v>
          </cell>
          <cell r="E361">
            <v>46023</v>
          </cell>
          <cell r="F361" t="str">
            <v>31/12/2026</v>
          </cell>
          <cell r="G361" t="str">
            <v>2026 YAHALA Card - Dubai Offers</v>
          </cell>
          <cell r="H361" t="str">
            <v>a0CTi00005KB3kpMAD</v>
          </cell>
          <cell r="I361" t="str">
            <v>L26DBYACA</v>
          </cell>
          <cell r="J361" t="str">
            <v>Active</v>
          </cell>
          <cell r="K361">
            <v>46164</v>
          </cell>
          <cell r="L361" t="str">
            <v>Dubai</v>
          </cell>
        </row>
        <row r="362">
          <cell r="A362" t="str">
            <v>X23960774</v>
          </cell>
          <cell r="C362" t="str">
            <v>S7 Padel</v>
          </cell>
          <cell r="D362" t="str">
            <v>% Off</v>
          </cell>
          <cell r="E362">
            <v>46023</v>
          </cell>
          <cell r="F362" t="str">
            <v>31/12/2026</v>
          </cell>
          <cell r="G362" t="str">
            <v>2026 YAHALA Card - Dubai Offers</v>
          </cell>
          <cell r="H362" t="str">
            <v>a0CTi00005KB3kpMAD</v>
          </cell>
          <cell r="I362" t="str">
            <v>L26DBYACA</v>
          </cell>
          <cell r="J362" t="str">
            <v>Active</v>
          </cell>
          <cell r="K362">
            <v>46164</v>
          </cell>
          <cell r="L362" t="str">
            <v>Dubai</v>
          </cell>
        </row>
        <row r="363">
          <cell r="A363" t="str">
            <v>X23960774</v>
          </cell>
          <cell r="C363" t="str">
            <v>S7 Padel</v>
          </cell>
          <cell r="D363" t="str">
            <v>% Off</v>
          </cell>
          <cell r="E363">
            <v>46023</v>
          </cell>
          <cell r="F363" t="str">
            <v>31/12/2026</v>
          </cell>
          <cell r="G363" t="str">
            <v>2026 YAHALA Card - Dubai Offers</v>
          </cell>
          <cell r="H363" t="str">
            <v>a0CTi00005KB3kpMAD</v>
          </cell>
          <cell r="I363" t="str">
            <v>L26DBYACA</v>
          </cell>
          <cell r="J363" t="str">
            <v>Active</v>
          </cell>
          <cell r="K363">
            <v>46164</v>
          </cell>
          <cell r="L363" t="str">
            <v>Dubai</v>
          </cell>
        </row>
        <row r="364">
          <cell r="A364" t="str">
            <v>X23961659</v>
          </cell>
          <cell r="C364" t="str">
            <v>Chocolala</v>
          </cell>
          <cell r="D364" t="str">
            <v>% Off</v>
          </cell>
          <cell r="E364">
            <v>46023</v>
          </cell>
          <cell r="F364" t="str">
            <v>31/12/2026</v>
          </cell>
          <cell r="G364" t="str">
            <v>2026 YAHALA Card - Dubai Offers</v>
          </cell>
          <cell r="H364" t="str">
            <v>a0CTi00005KB3kpMAD</v>
          </cell>
          <cell r="I364" t="str">
            <v>L26DBYACA</v>
          </cell>
          <cell r="J364" t="str">
            <v>Active</v>
          </cell>
          <cell r="K364">
            <v>46181</v>
          </cell>
          <cell r="L364" t="str">
            <v>Dubai</v>
          </cell>
        </row>
        <row r="365">
          <cell r="A365" t="str">
            <v>X23960735</v>
          </cell>
          <cell r="C365" t="str">
            <v>The Lob Dubai</v>
          </cell>
          <cell r="D365" t="str">
            <v>% Off</v>
          </cell>
          <cell r="E365">
            <v>46023</v>
          </cell>
          <cell r="F365" t="str">
            <v>31/12/2026</v>
          </cell>
          <cell r="G365" t="str">
            <v>2026 YAHALA Card - Dubai Offers</v>
          </cell>
          <cell r="H365" t="str">
            <v>a0CTi00005KB3kpMAD</v>
          </cell>
          <cell r="I365" t="str">
            <v>L26DBYACA</v>
          </cell>
          <cell r="J365" t="str">
            <v>Active</v>
          </cell>
          <cell r="K365">
            <v>46183</v>
          </cell>
          <cell r="L365" t="str">
            <v>Dubai</v>
          </cell>
        </row>
        <row r="366">
          <cell r="A366" t="str">
            <v>X23960735</v>
          </cell>
          <cell r="C366" t="str">
            <v>The Lob Dubai</v>
          </cell>
          <cell r="D366" t="str">
            <v>% Off</v>
          </cell>
          <cell r="E366">
            <v>46023</v>
          </cell>
          <cell r="F366" t="str">
            <v>31/12/2026</v>
          </cell>
          <cell r="G366" t="str">
            <v>2026 YAHALA Card - Dubai Offers</v>
          </cell>
          <cell r="H366" t="str">
            <v>a0CTi00005KB3kpMAD</v>
          </cell>
          <cell r="I366" t="str">
            <v>L26DBYACA</v>
          </cell>
          <cell r="J366" t="str">
            <v>Active</v>
          </cell>
          <cell r="K366">
            <v>46183</v>
          </cell>
          <cell r="L366" t="str">
            <v>Dubai</v>
          </cell>
        </row>
        <row r="367">
          <cell r="A367" t="str">
            <v>X22074348</v>
          </cell>
          <cell r="C367" t="str">
            <v>SHOEMART</v>
          </cell>
          <cell r="D367" t="str">
            <v>% Off</v>
          </cell>
          <cell r="E367">
            <v>46023</v>
          </cell>
          <cell r="F367" t="str">
            <v>31/12/2026</v>
          </cell>
          <cell r="G367" t="str">
            <v>2026 YAHALA Card - Dubai Offers</v>
          </cell>
          <cell r="H367" t="str">
            <v>a0CTi00005KB3kpMAD</v>
          </cell>
          <cell r="I367" t="str">
            <v>L26DBYACA</v>
          </cell>
          <cell r="J367" t="str">
            <v>Active</v>
          </cell>
          <cell r="K367">
            <v>46190</v>
          </cell>
          <cell r="L367" t="str">
            <v>Dubai</v>
          </cell>
        </row>
        <row r="368">
          <cell r="A368" t="str">
            <v>X23962072</v>
          </cell>
          <cell r="C368" t="str">
            <v>Sidr Lab Cafe</v>
          </cell>
          <cell r="D368" t="str">
            <v>% Off</v>
          </cell>
          <cell r="E368">
            <v>46023</v>
          </cell>
          <cell r="F368" t="str">
            <v>31/12/2026</v>
          </cell>
          <cell r="G368" t="str">
            <v>2026 YAHALA Card - Dubai Offers</v>
          </cell>
          <cell r="H368" t="str">
            <v>a0CTi00005KB3kpMAD</v>
          </cell>
          <cell r="I368" t="str">
            <v>L26DBYACA</v>
          </cell>
          <cell r="J368" t="str">
            <v>Active</v>
          </cell>
          <cell r="K368">
            <v>46197</v>
          </cell>
          <cell r="L368" t="str">
            <v>Dubai</v>
          </cell>
        </row>
        <row r="369">
          <cell r="A369" t="str">
            <v>X099600</v>
          </cell>
          <cell r="C369" t="str">
            <v>The Pizza Company</v>
          </cell>
          <cell r="D369" t="str">
            <v>% Off</v>
          </cell>
          <cell r="E369">
            <v>46023</v>
          </cell>
          <cell r="F369" t="str">
            <v>31/12/2026</v>
          </cell>
          <cell r="G369" t="str">
            <v>2026 YaHala Delivery - Abu Dhabi Offers</v>
          </cell>
          <cell r="H369" t="str">
            <v>a0CTi00005KAj1QMAT</v>
          </cell>
          <cell r="I369" t="str">
            <v>L26ADDLYA</v>
          </cell>
          <cell r="J369" t="str">
            <v>Active</v>
          </cell>
          <cell r="K369">
            <v>45733</v>
          </cell>
          <cell r="L369" t="str">
            <v>Abu Dhabi</v>
          </cell>
        </row>
        <row r="370">
          <cell r="A370" t="str">
            <v>X23908117</v>
          </cell>
          <cell r="C370" t="str">
            <v>Lunch Box</v>
          </cell>
          <cell r="D370" t="str">
            <v>% Off</v>
          </cell>
          <cell r="E370">
            <v>46023</v>
          </cell>
          <cell r="F370" t="str">
            <v>31/12/2026</v>
          </cell>
          <cell r="G370" t="str">
            <v>2026 YaHala Delivery - Abu Dhabi Offers</v>
          </cell>
          <cell r="H370" t="str">
            <v>a0CTi00005KAj1QMAT</v>
          </cell>
          <cell r="I370" t="str">
            <v>L26ADDLYA</v>
          </cell>
          <cell r="J370" t="str">
            <v>Active</v>
          </cell>
          <cell r="K370">
            <v>45736</v>
          </cell>
          <cell r="L370" t="str">
            <v>Abu Dhabi</v>
          </cell>
        </row>
        <row r="371">
          <cell r="A371" t="str">
            <v>X23934387</v>
          </cell>
          <cell r="C371" t="str">
            <v>Mandarin Oak</v>
          </cell>
          <cell r="D371" t="str">
            <v>% Off</v>
          </cell>
          <cell r="E371">
            <v>46023</v>
          </cell>
          <cell r="F371" t="str">
            <v>31/12/2026</v>
          </cell>
          <cell r="G371" t="str">
            <v>2026 YaHala Delivery - Abu Dhabi Offers</v>
          </cell>
          <cell r="H371" t="str">
            <v>a0CTi00005KAj1QMAT</v>
          </cell>
          <cell r="I371" t="str">
            <v>L26ADDLYA</v>
          </cell>
          <cell r="J371" t="str">
            <v>Active</v>
          </cell>
          <cell r="K371">
            <v>45736</v>
          </cell>
          <cell r="L371" t="str">
            <v>Abu Dhabi</v>
          </cell>
        </row>
        <row r="372">
          <cell r="A372" t="str">
            <v>X23934389</v>
          </cell>
          <cell r="C372" t="str">
            <v>Behrouz Biryani</v>
          </cell>
          <cell r="D372" t="str">
            <v>% Off</v>
          </cell>
          <cell r="E372">
            <v>46023</v>
          </cell>
          <cell r="F372" t="str">
            <v>31/12/2026</v>
          </cell>
          <cell r="G372" t="str">
            <v>2026 YaHala Delivery - Abu Dhabi Offers</v>
          </cell>
          <cell r="H372" t="str">
            <v>a0CTi00005KAj1QMAT</v>
          </cell>
          <cell r="I372" t="str">
            <v>L26ADDLYA</v>
          </cell>
          <cell r="J372" t="str">
            <v>Active</v>
          </cell>
          <cell r="K372">
            <v>45736</v>
          </cell>
          <cell r="L372" t="str">
            <v>Abu Dhabi</v>
          </cell>
        </row>
        <row r="373">
          <cell r="A373" t="str">
            <v>X23908115</v>
          </cell>
          <cell r="C373" t="str">
            <v>Hakka Bros</v>
          </cell>
          <cell r="D373" t="str">
            <v>% Off</v>
          </cell>
          <cell r="E373">
            <v>46023</v>
          </cell>
          <cell r="F373" t="str">
            <v>31/12/2026</v>
          </cell>
          <cell r="G373" t="str">
            <v>2026 YaHala Delivery - Abu Dhabi Offers</v>
          </cell>
          <cell r="H373" t="str">
            <v>a0CTi00005KAj1QMAT</v>
          </cell>
          <cell r="I373" t="str">
            <v>L26ADDLYA</v>
          </cell>
          <cell r="J373" t="str">
            <v>Active</v>
          </cell>
          <cell r="K373">
            <v>45736</v>
          </cell>
          <cell r="L373" t="str">
            <v>Abu Dhabi</v>
          </cell>
        </row>
        <row r="374">
          <cell r="A374" t="str">
            <v>X23908113</v>
          </cell>
          <cell r="C374" t="str">
            <v>Faasos</v>
          </cell>
          <cell r="D374" t="str">
            <v>% Off</v>
          </cell>
          <cell r="E374">
            <v>46023</v>
          </cell>
          <cell r="F374" t="str">
            <v>31/12/2026</v>
          </cell>
          <cell r="G374" t="str">
            <v>2026 YaHala Delivery - Abu Dhabi Offers</v>
          </cell>
          <cell r="H374" t="str">
            <v>a0CTi00005KAj1QMAT</v>
          </cell>
          <cell r="I374" t="str">
            <v>L26ADDLYA</v>
          </cell>
          <cell r="J374" t="str">
            <v>Active</v>
          </cell>
          <cell r="K374">
            <v>45736</v>
          </cell>
          <cell r="L374" t="str">
            <v>Abu Dhabi</v>
          </cell>
        </row>
        <row r="375">
          <cell r="A375" t="str">
            <v>X23934386</v>
          </cell>
          <cell r="C375" t="str">
            <v>Fricken Chicken</v>
          </cell>
          <cell r="D375" t="str">
            <v>% Off</v>
          </cell>
          <cell r="E375">
            <v>46023</v>
          </cell>
          <cell r="F375" t="str">
            <v>31/12/2026</v>
          </cell>
          <cell r="G375" t="str">
            <v>2026 YaHala Delivery - Abu Dhabi Offers</v>
          </cell>
          <cell r="H375" t="str">
            <v>a0CTi00005KAj1QMAT</v>
          </cell>
          <cell r="I375" t="str">
            <v>L26ADDLYA</v>
          </cell>
          <cell r="J375" t="str">
            <v>Active</v>
          </cell>
          <cell r="K375">
            <v>45736</v>
          </cell>
          <cell r="L375" t="str">
            <v>Abu Dhabi</v>
          </cell>
        </row>
        <row r="376">
          <cell r="A376" t="str">
            <v>X23929927</v>
          </cell>
          <cell r="C376" t="str">
            <v>Honest Bowl</v>
          </cell>
          <cell r="D376" t="str">
            <v>% Off</v>
          </cell>
          <cell r="E376">
            <v>46023</v>
          </cell>
          <cell r="F376" t="str">
            <v>31/12/2026</v>
          </cell>
          <cell r="G376" t="str">
            <v>2026 YaHala Delivery - Abu Dhabi Offers</v>
          </cell>
          <cell r="H376" t="str">
            <v>a0CTi00005KAj1QMAT</v>
          </cell>
          <cell r="I376" t="str">
            <v>L26ADDLYA</v>
          </cell>
          <cell r="J376" t="str">
            <v>Active</v>
          </cell>
          <cell r="K376">
            <v>45736</v>
          </cell>
          <cell r="L376" t="str">
            <v>Abu Dhabi</v>
          </cell>
        </row>
        <row r="377">
          <cell r="A377" t="str">
            <v>X23924540</v>
          </cell>
          <cell r="C377" t="str">
            <v>Messy Burger</v>
          </cell>
          <cell r="D377" t="str">
            <v>% Off</v>
          </cell>
          <cell r="E377">
            <v>46023</v>
          </cell>
          <cell r="F377" t="str">
            <v>31/12/2026</v>
          </cell>
          <cell r="G377" t="str">
            <v>2026 YaHala Delivery - Abu Dhabi Offers</v>
          </cell>
          <cell r="H377" t="str">
            <v>a0CTi00005KAj1QMAT</v>
          </cell>
          <cell r="I377" t="str">
            <v>L26ADDLYA</v>
          </cell>
          <cell r="J377" t="str">
            <v>Active</v>
          </cell>
          <cell r="K377">
            <v>45736</v>
          </cell>
          <cell r="L377" t="str">
            <v>Abu Dhabi</v>
          </cell>
        </row>
        <row r="378">
          <cell r="A378" t="str">
            <v>X23908114</v>
          </cell>
          <cell r="C378" t="str">
            <v>Ovenstory Pizza</v>
          </cell>
          <cell r="D378" t="str">
            <v>% Off</v>
          </cell>
          <cell r="E378">
            <v>46023</v>
          </cell>
          <cell r="F378" t="str">
            <v>31/12/2026</v>
          </cell>
          <cell r="G378" t="str">
            <v>2026 YaHala Delivery - Abu Dhabi Offers</v>
          </cell>
          <cell r="H378" t="str">
            <v>a0CTi00005KAj1QMAT</v>
          </cell>
          <cell r="I378" t="str">
            <v>L26ADDLYA</v>
          </cell>
          <cell r="J378" t="str">
            <v>Active</v>
          </cell>
          <cell r="K378">
            <v>45736</v>
          </cell>
          <cell r="L378" t="str">
            <v>Abu Dhabi</v>
          </cell>
        </row>
        <row r="379">
          <cell r="A379" t="str">
            <v>X23908118</v>
          </cell>
          <cell r="C379" t="str">
            <v>Sweet Truth</v>
          </cell>
          <cell r="D379" t="str">
            <v>% Off</v>
          </cell>
          <cell r="E379">
            <v>46023</v>
          </cell>
          <cell r="F379" t="str">
            <v>31/12/2026</v>
          </cell>
          <cell r="G379" t="str">
            <v>2026 YaHala Delivery - Abu Dhabi Offers</v>
          </cell>
          <cell r="H379" t="str">
            <v>a0CTi00005KAj1QMAT</v>
          </cell>
          <cell r="I379" t="str">
            <v>L26ADDLYA</v>
          </cell>
          <cell r="J379" t="str">
            <v>Active</v>
          </cell>
          <cell r="K379">
            <v>45736</v>
          </cell>
          <cell r="L379" t="str">
            <v>Abu Dhabi</v>
          </cell>
        </row>
        <row r="380">
          <cell r="A380" t="str">
            <v>X23929926</v>
          </cell>
          <cell r="C380" t="str">
            <v>Momo Bros</v>
          </cell>
          <cell r="D380" t="str">
            <v>% Off</v>
          </cell>
          <cell r="E380">
            <v>46023</v>
          </cell>
          <cell r="F380" t="str">
            <v>31/12/2026</v>
          </cell>
          <cell r="G380" t="str">
            <v>2026 YaHala Delivery - Abu Dhabi Offers</v>
          </cell>
          <cell r="H380" t="str">
            <v>a0CTi00005KAj1QMAT</v>
          </cell>
          <cell r="I380" t="str">
            <v>L26ADDLYA</v>
          </cell>
          <cell r="J380" t="str">
            <v>Active</v>
          </cell>
          <cell r="K380">
            <v>45736</v>
          </cell>
          <cell r="L380" t="str">
            <v>Abu Dhabi</v>
          </cell>
        </row>
        <row r="381">
          <cell r="A381" t="str">
            <v>X23908116</v>
          </cell>
          <cell r="C381" t="str">
            <v>Pizza Bros</v>
          </cell>
          <cell r="D381" t="str">
            <v>% Off</v>
          </cell>
          <cell r="E381">
            <v>46023</v>
          </cell>
          <cell r="F381" t="str">
            <v>31/12/2026</v>
          </cell>
          <cell r="G381" t="str">
            <v>2026 YaHala Delivery - Abu Dhabi Offers</v>
          </cell>
          <cell r="H381" t="str">
            <v>a0CTi00005KAj1QMAT</v>
          </cell>
          <cell r="I381" t="str">
            <v>L26ADDLYA</v>
          </cell>
          <cell r="J381" t="str">
            <v>Active</v>
          </cell>
          <cell r="K381">
            <v>45736</v>
          </cell>
          <cell r="L381" t="str">
            <v>Abu Dhabi</v>
          </cell>
        </row>
        <row r="382">
          <cell r="A382" t="str">
            <v>X23934388</v>
          </cell>
          <cell r="C382" t="str">
            <v>The 500 Calorie Project</v>
          </cell>
          <cell r="D382" t="str">
            <v>% Off</v>
          </cell>
          <cell r="E382">
            <v>46023</v>
          </cell>
          <cell r="F382" t="str">
            <v>31/12/2026</v>
          </cell>
          <cell r="G382" t="str">
            <v>2026 YaHala Delivery - Abu Dhabi Offers</v>
          </cell>
          <cell r="H382" t="str">
            <v>a0CTi00005KAj1QMAT</v>
          </cell>
          <cell r="I382" t="str">
            <v>L26ADDLYA</v>
          </cell>
          <cell r="J382" t="str">
            <v>Active</v>
          </cell>
          <cell r="K382">
            <v>45737</v>
          </cell>
          <cell r="L382" t="str">
            <v>Abu Dhabi</v>
          </cell>
        </row>
        <row r="383">
          <cell r="A383" t="str">
            <v>X22441578</v>
          </cell>
          <cell r="C383" t="str">
            <v>PizzaExpress</v>
          </cell>
          <cell r="D383" t="str">
            <v>% Off</v>
          </cell>
          <cell r="E383">
            <v>46023</v>
          </cell>
          <cell r="F383" t="str">
            <v>31/12/2026</v>
          </cell>
          <cell r="G383" t="str">
            <v>2026 YaHala Delivery - Abu Dhabi Offers</v>
          </cell>
          <cell r="H383" t="str">
            <v>a0CTi00005KAj1QMAT</v>
          </cell>
          <cell r="I383" t="str">
            <v>L26ADDLYA</v>
          </cell>
          <cell r="J383" t="str">
            <v>Active</v>
          </cell>
          <cell r="K383">
            <v>45863</v>
          </cell>
          <cell r="L383" t="str">
            <v>Abu Dhabi</v>
          </cell>
        </row>
        <row r="384">
          <cell r="A384" t="str">
            <v>X23241139</v>
          </cell>
          <cell r="C384" t="str">
            <v>CaliBurger</v>
          </cell>
          <cell r="D384" t="str">
            <v>% Off</v>
          </cell>
          <cell r="E384">
            <v>46023</v>
          </cell>
          <cell r="F384" t="str">
            <v>31/12/2026</v>
          </cell>
          <cell r="G384" t="str">
            <v>2026 YaHala Delivery - Abu Dhabi Offers</v>
          </cell>
          <cell r="H384" t="str">
            <v>a0CTi00005KAj1QMAT</v>
          </cell>
          <cell r="I384" t="str">
            <v>L26ADDLYA</v>
          </cell>
          <cell r="J384" t="str">
            <v>Active</v>
          </cell>
          <cell r="K384">
            <v>45866</v>
          </cell>
          <cell r="L384" t="str">
            <v>Abu Dhabi</v>
          </cell>
        </row>
        <row r="385">
          <cell r="A385" t="str">
            <v>X23918391</v>
          </cell>
          <cell r="C385" t="str">
            <v>La Patrona</v>
          </cell>
          <cell r="D385" t="str">
            <v>% Off</v>
          </cell>
          <cell r="E385">
            <v>46023</v>
          </cell>
          <cell r="F385" t="str">
            <v>31/12/2026</v>
          </cell>
          <cell r="G385" t="str">
            <v>2026 YaHala Delivery - Abu Dhabi Offers</v>
          </cell>
          <cell r="H385" t="str">
            <v>a0CTi00005KAj1QMAT</v>
          </cell>
          <cell r="I385" t="str">
            <v>L26ADDLYA</v>
          </cell>
          <cell r="J385" t="str">
            <v>Active</v>
          </cell>
          <cell r="K385">
            <v>45908</v>
          </cell>
          <cell r="L385" t="str">
            <v>Abu Dhabi</v>
          </cell>
        </row>
        <row r="386">
          <cell r="A386" t="str">
            <v>X23895036</v>
          </cell>
          <cell r="C386" t="str">
            <v>JJ Chicken</v>
          </cell>
          <cell r="D386" t="str">
            <v>% Off</v>
          </cell>
          <cell r="E386">
            <v>46023</v>
          </cell>
          <cell r="F386" t="str">
            <v>31/12/2026</v>
          </cell>
          <cell r="G386" t="str">
            <v>2026 YaHala Delivery - Abu Dhabi Offers</v>
          </cell>
          <cell r="H386" t="str">
            <v>a0CTi00005KAj1QMAT</v>
          </cell>
          <cell r="I386" t="str">
            <v>L26ADDLYA</v>
          </cell>
          <cell r="J386" t="str">
            <v>Active</v>
          </cell>
          <cell r="K386">
            <v>45728</v>
          </cell>
          <cell r="L386" t="str">
            <v>Abu Dhabi</v>
          </cell>
        </row>
        <row r="387">
          <cell r="A387" t="str">
            <v>X23928383</v>
          </cell>
          <cell r="C387" t="str">
            <v>Jamaica Blue</v>
          </cell>
          <cell r="D387" t="str">
            <v>% Off</v>
          </cell>
          <cell r="E387">
            <v>46023</v>
          </cell>
          <cell r="F387" t="str">
            <v>31/12/2026</v>
          </cell>
          <cell r="G387" t="str">
            <v>2026 YaHala Delivery - Abu Dhabi Offers</v>
          </cell>
          <cell r="H387" t="str">
            <v>a0CTi00005KAj1QMAT</v>
          </cell>
          <cell r="I387" t="str">
            <v>L26ADDLYA</v>
          </cell>
          <cell r="J387" t="str">
            <v>Active</v>
          </cell>
          <cell r="K387">
            <v>45730</v>
          </cell>
          <cell r="L387" t="str">
            <v>Abu Dhabi</v>
          </cell>
        </row>
        <row r="388">
          <cell r="A388" t="str">
            <v>X23950699</v>
          </cell>
          <cell r="C388" t="str">
            <v>Texas Fire Grill</v>
          </cell>
          <cell r="D388" t="str">
            <v>% Off</v>
          </cell>
          <cell r="E388">
            <v>46023</v>
          </cell>
          <cell r="F388" t="str">
            <v>31/12/2026</v>
          </cell>
          <cell r="G388" t="str">
            <v>2026 YaHala Delivery - Abu Dhabi Offers</v>
          </cell>
          <cell r="H388" t="str">
            <v>a0CTi00005KAj1QMAT</v>
          </cell>
          <cell r="I388" t="str">
            <v>L26ADDLYA</v>
          </cell>
          <cell r="J388" t="str">
            <v>Active</v>
          </cell>
          <cell r="K388">
            <v>45730</v>
          </cell>
          <cell r="L388" t="str">
            <v>Abu Dhabi</v>
          </cell>
        </row>
        <row r="389">
          <cell r="A389" t="str">
            <v>X23889156</v>
          </cell>
          <cell r="C389" t="str">
            <v>Ushna Abu Dhabi</v>
          </cell>
          <cell r="D389" t="str">
            <v>% Off</v>
          </cell>
          <cell r="E389">
            <v>46023</v>
          </cell>
          <cell r="F389" t="str">
            <v>31/12/2026</v>
          </cell>
          <cell r="G389" t="str">
            <v>2026 YaHala Delivery - Abu Dhabi Offers</v>
          </cell>
          <cell r="H389" t="str">
            <v>a0CTi00005KAj1QMAT</v>
          </cell>
          <cell r="I389" t="str">
            <v>L26ADDLYA</v>
          </cell>
          <cell r="J389" t="str">
            <v>Active</v>
          </cell>
          <cell r="K389">
            <v>45771</v>
          </cell>
          <cell r="L389" t="str">
            <v>Abu Dhabi</v>
          </cell>
        </row>
        <row r="390">
          <cell r="A390" t="str">
            <v>X23953289</v>
          </cell>
          <cell r="C390" t="str">
            <v>Little Korea</v>
          </cell>
          <cell r="D390" t="str">
            <v>% Off</v>
          </cell>
          <cell r="E390">
            <v>46023</v>
          </cell>
          <cell r="F390" t="str">
            <v>31/12/2026</v>
          </cell>
          <cell r="G390" t="str">
            <v>2026 YaHala Delivery - Abu Dhabi Offers</v>
          </cell>
          <cell r="H390" t="str">
            <v>a0CTi00005KAj1QMAT</v>
          </cell>
          <cell r="I390" t="str">
            <v>L26ADDLYA</v>
          </cell>
          <cell r="J390" t="str">
            <v>Active</v>
          </cell>
          <cell r="K390">
            <v>45839</v>
          </cell>
          <cell r="L390" t="str">
            <v>Abu Dhabi</v>
          </cell>
        </row>
        <row r="391">
          <cell r="A391" t="str">
            <v>X23909931</v>
          </cell>
          <cell r="C391" t="str">
            <v>ChicKing - Abu Dhabi</v>
          </cell>
          <cell r="D391" t="str">
            <v>% Off</v>
          </cell>
          <cell r="E391">
            <v>46023</v>
          </cell>
          <cell r="F391" t="str">
            <v>31/12/2026</v>
          </cell>
          <cell r="G391" t="str">
            <v>2026 YaHala Delivery - Abu Dhabi Offers</v>
          </cell>
          <cell r="H391" t="str">
            <v>a0CTi00005KAj1QMAT</v>
          </cell>
          <cell r="I391" t="str">
            <v>L26ADDLYA</v>
          </cell>
          <cell r="J391" t="str">
            <v>Active</v>
          </cell>
          <cell r="K391">
            <v>45874</v>
          </cell>
          <cell r="L391" t="str">
            <v>Abu Dhabi</v>
          </cell>
        </row>
        <row r="392">
          <cell r="A392" t="str">
            <v>X23895171</v>
          </cell>
          <cell r="C392" t="str">
            <v>La Deliziosa Pizzeria Restaurant</v>
          </cell>
          <cell r="D392" t="str">
            <v>% Off</v>
          </cell>
          <cell r="E392">
            <v>46023</v>
          </cell>
          <cell r="F392" t="str">
            <v>31/12/2026</v>
          </cell>
          <cell r="G392" t="str">
            <v>2026 YaHala Delivery - Abu Dhabi Offers</v>
          </cell>
          <cell r="H392" t="str">
            <v>a0CTi00005KAj1QMAT</v>
          </cell>
          <cell r="I392" t="str">
            <v>L26ADDLYA</v>
          </cell>
          <cell r="J392" t="str">
            <v>Active</v>
          </cell>
          <cell r="K392">
            <v>45951</v>
          </cell>
          <cell r="L392" t="str">
            <v>Abu Dhabi</v>
          </cell>
        </row>
        <row r="393">
          <cell r="A393" t="str">
            <v>X23877321</v>
          </cell>
          <cell r="C393" t="str">
            <v>The Pizza Pie Factory</v>
          </cell>
          <cell r="D393" t="str">
            <v>% Off</v>
          </cell>
          <cell r="E393">
            <v>46023</v>
          </cell>
          <cell r="F393" t="str">
            <v>31/12/2026</v>
          </cell>
          <cell r="G393" t="str">
            <v>2026 YaHala Delivery - Abu Dhabi Offers</v>
          </cell>
          <cell r="H393" t="str">
            <v>a0CTi00005KAj1QMAT</v>
          </cell>
          <cell r="I393" t="str">
            <v>L26ADDLYA</v>
          </cell>
          <cell r="J393" t="str">
            <v>Active</v>
          </cell>
          <cell r="K393">
            <v>45967</v>
          </cell>
          <cell r="L393" t="str">
            <v>Abu Dhabi</v>
          </cell>
        </row>
        <row r="394">
          <cell r="A394" t="str">
            <v>X21687752</v>
          </cell>
          <cell r="C394" t="str">
            <v>Papa Murphy's</v>
          </cell>
          <cell r="D394" t="str">
            <v>% Off</v>
          </cell>
          <cell r="E394">
            <v>46023</v>
          </cell>
          <cell r="F394" t="str">
            <v>31/12/2026</v>
          </cell>
          <cell r="G394" t="str">
            <v>2026 YaHala Delivery - Abu Dhabi Offers</v>
          </cell>
          <cell r="H394" t="str">
            <v>a0CTi00005KAj1QMAT</v>
          </cell>
          <cell r="I394" t="str">
            <v>L26ADDLYA</v>
          </cell>
          <cell r="J394" t="str">
            <v>Active</v>
          </cell>
          <cell r="K394">
            <v>45972</v>
          </cell>
          <cell r="L394" t="str">
            <v>Abu Dhabi</v>
          </cell>
        </row>
        <row r="395">
          <cell r="A395" t="str">
            <v>X23871558</v>
          </cell>
          <cell r="C395" t="str">
            <v>Mynt Indian Cuisine Restaurant</v>
          </cell>
          <cell r="D395" t="str">
            <v>% Off</v>
          </cell>
          <cell r="E395">
            <v>46023</v>
          </cell>
          <cell r="F395" t="str">
            <v>31/12/2026</v>
          </cell>
          <cell r="G395" t="str">
            <v>2026 YaHala Delivery - Abu Dhabi Offers</v>
          </cell>
          <cell r="H395" t="str">
            <v>a0CTi00005KAj1QMAT</v>
          </cell>
          <cell r="I395" t="str">
            <v>L26ADDLYA</v>
          </cell>
          <cell r="J395" t="str">
            <v>Active</v>
          </cell>
          <cell r="K395">
            <v>45987</v>
          </cell>
          <cell r="L395" t="str">
            <v>Abu Dhabi</v>
          </cell>
        </row>
        <row r="396">
          <cell r="A396" t="str">
            <v>X23957226</v>
          </cell>
          <cell r="C396" t="str">
            <v>Pinsa Mamma Mia - Abu Dhabi</v>
          </cell>
          <cell r="D396" t="str">
            <v>% Off</v>
          </cell>
          <cell r="E396">
            <v>46023</v>
          </cell>
          <cell r="F396" t="str">
            <v>31/12/2026</v>
          </cell>
          <cell r="G396" t="str">
            <v>2026 YaHala Delivery - Abu Dhabi Offers</v>
          </cell>
          <cell r="H396" t="str">
            <v>a0CTi00005KAj1QMAT</v>
          </cell>
          <cell r="I396" t="str">
            <v>L26ADDLYA</v>
          </cell>
          <cell r="J396" t="str">
            <v>Active</v>
          </cell>
          <cell r="K396">
            <v>45989</v>
          </cell>
          <cell r="L396" t="str">
            <v>Abu Dhabi</v>
          </cell>
        </row>
        <row r="397">
          <cell r="A397" t="str">
            <v>X21332590</v>
          </cell>
          <cell r="C397" t="str">
            <v>Russo's New York Pizzeria-Abu Dhabi</v>
          </cell>
          <cell r="D397" t="str">
            <v>% Off</v>
          </cell>
          <cell r="E397">
            <v>46023</v>
          </cell>
          <cell r="F397" t="str">
            <v>31/12/2026</v>
          </cell>
          <cell r="G397" t="str">
            <v>2026 YaHala Delivery - Abu Dhabi Offers</v>
          </cell>
          <cell r="H397" t="str">
            <v>a0CTi00005KAj1QMAT</v>
          </cell>
          <cell r="I397" t="str">
            <v>L26ADDLYA</v>
          </cell>
          <cell r="J397" t="str">
            <v>Active</v>
          </cell>
          <cell r="K397">
            <v>46000</v>
          </cell>
          <cell r="L397" t="str">
            <v>Abu Dhabi</v>
          </cell>
        </row>
        <row r="398">
          <cell r="A398" t="str">
            <v>X23945527</v>
          </cell>
          <cell r="C398" t="str">
            <v>Pinsa Romana</v>
          </cell>
          <cell r="D398" t="str">
            <v>% Off</v>
          </cell>
          <cell r="E398">
            <v>46023</v>
          </cell>
          <cell r="F398" t="str">
            <v>31/12/2026</v>
          </cell>
          <cell r="G398" t="str">
            <v>2026 YaHala Delivery - Abu Dhabi Offers</v>
          </cell>
          <cell r="H398" t="str">
            <v>a0CTi00005KAj1QMAT</v>
          </cell>
          <cell r="I398" t="str">
            <v>L26ADDLYA</v>
          </cell>
          <cell r="J398" t="str">
            <v>Active</v>
          </cell>
          <cell r="K398">
            <v>46001</v>
          </cell>
          <cell r="L398" t="str">
            <v>Abu Dhabi</v>
          </cell>
        </row>
        <row r="399">
          <cell r="A399" t="str">
            <v>X037015</v>
          </cell>
          <cell r="C399" t="str">
            <v>Nando's</v>
          </cell>
          <cell r="D399" t="str">
            <v>% Off</v>
          </cell>
          <cell r="E399">
            <v>46023</v>
          </cell>
          <cell r="F399" t="str">
            <v>31/12/2026</v>
          </cell>
          <cell r="G399" t="str">
            <v>2026 YaHala Delivery - Abu Dhabi Offers</v>
          </cell>
          <cell r="H399" t="str">
            <v>a0CTi00005KAj1QMAT</v>
          </cell>
          <cell r="I399" t="str">
            <v>L26ADDLYA</v>
          </cell>
          <cell r="J399" t="str">
            <v>Active</v>
          </cell>
          <cell r="K399">
            <v>45799</v>
          </cell>
          <cell r="L399" t="str">
            <v>Abu Dhabi</v>
          </cell>
        </row>
        <row r="400">
          <cell r="A400" t="str">
            <v>X23885275</v>
          </cell>
          <cell r="C400" t="str">
            <v>Gino's Deli</v>
          </cell>
          <cell r="D400" t="str">
            <v>% Off</v>
          </cell>
          <cell r="E400">
            <v>46023</v>
          </cell>
          <cell r="F400" t="str">
            <v>31/12/2026</v>
          </cell>
          <cell r="G400" t="str">
            <v>2026 YaHala Delivery - Abu Dhabi Offers</v>
          </cell>
          <cell r="H400" t="str">
            <v>a0CTi00005KAj1QMAT</v>
          </cell>
          <cell r="I400" t="str">
            <v>L26ADDLYA</v>
          </cell>
          <cell r="J400" t="str">
            <v>Active</v>
          </cell>
          <cell r="K400">
            <v>45904</v>
          </cell>
          <cell r="L400" t="str">
            <v>Abu Dhabi</v>
          </cell>
        </row>
        <row r="401">
          <cell r="A401" t="str">
            <v>X23950129</v>
          </cell>
          <cell r="C401" t="str">
            <v>New Shanghai Abu Dhabi</v>
          </cell>
          <cell r="D401" t="str">
            <v>% Off</v>
          </cell>
          <cell r="E401">
            <v>46023</v>
          </cell>
          <cell r="F401" t="str">
            <v>31/12/2026</v>
          </cell>
          <cell r="G401" t="str">
            <v>2026 YaHala Delivery - Abu Dhabi Offers</v>
          </cell>
          <cell r="H401" t="str">
            <v>a0CTi00005KAj1QMAT</v>
          </cell>
          <cell r="I401" t="str">
            <v>L26ADDLYA</v>
          </cell>
          <cell r="J401" t="str">
            <v>Active</v>
          </cell>
          <cell r="K401">
            <v>45979</v>
          </cell>
          <cell r="L401" t="str">
            <v>Abu Dhabi</v>
          </cell>
        </row>
        <row r="402">
          <cell r="A402" t="str">
            <v>X23935126</v>
          </cell>
          <cell r="C402" t="str">
            <v>Bateel El'an - Abu Dhabi</v>
          </cell>
          <cell r="D402" t="str">
            <v>% Off</v>
          </cell>
          <cell r="E402">
            <v>46023</v>
          </cell>
          <cell r="F402" t="str">
            <v>31/12/2026</v>
          </cell>
          <cell r="G402" t="str">
            <v>2026 YaHala Delivery - Abu Dhabi Offers</v>
          </cell>
          <cell r="H402" t="str">
            <v>a0CTi00005KAj1QMAT</v>
          </cell>
          <cell r="I402" t="str">
            <v>L26ADDLYA</v>
          </cell>
          <cell r="J402" t="str">
            <v>Active</v>
          </cell>
          <cell r="K402">
            <v>46007</v>
          </cell>
          <cell r="L402" t="str">
            <v>Abu Dhabi</v>
          </cell>
        </row>
        <row r="403">
          <cell r="A403" t="str">
            <v>X23866751</v>
          </cell>
          <cell r="C403" t="str">
            <v>Cafe Bateel - Abu Dhabi</v>
          </cell>
          <cell r="D403" t="str">
            <v>% Off</v>
          </cell>
          <cell r="E403">
            <v>46023</v>
          </cell>
          <cell r="F403" t="str">
            <v>31/12/2026</v>
          </cell>
          <cell r="G403" t="str">
            <v>2026 YaHala Delivery - Abu Dhabi Offers</v>
          </cell>
          <cell r="H403" t="str">
            <v>a0CTi00005KAj1QMAT</v>
          </cell>
          <cell r="I403" t="str">
            <v>L26ADDLYA</v>
          </cell>
          <cell r="J403" t="str">
            <v>Active</v>
          </cell>
          <cell r="K403">
            <v>46007</v>
          </cell>
          <cell r="L403" t="str">
            <v>Abu Dhabi</v>
          </cell>
        </row>
        <row r="404">
          <cell r="A404" t="str">
            <v>X22349353</v>
          </cell>
          <cell r="C404" t="str">
            <v>Villa Beirut</v>
          </cell>
          <cell r="D404" t="str">
            <v>% Off</v>
          </cell>
          <cell r="E404">
            <v>46023</v>
          </cell>
          <cell r="F404" t="str">
            <v>31/12/2026</v>
          </cell>
          <cell r="G404" t="str">
            <v>2026 YaHala Delivery - Abu Dhabi Offers</v>
          </cell>
          <cell r="H404" t="str">
            <v>a0CTi00005KAj1QMAT</v>
          </cell>
          <cell r="I404" t="str">
            <v>L26ADDLYA</v>
          </cell>
          <cell r="J404" t="str">
            <v>Active</v>
          </cell>
          <cell r="K404">
            <v>46020</v>
          </cell>
          <cell r="L404" t="str">
            <v>Abu Dhabi</v>
          </cell>
        </row>
        <row r="405">
          <cell r="A405" t="str">
            <v>X23949651</v>
          </cell>
          <cell r="C405" t="str">
            <v>Rite. Abu Dhabi</v>
          </cell>
          <cell r="D405" t="str">
            <v>% Off</v>
          </cell>
          <cell r="E405">
            <v>46023</v>
          </cell>
          <cell r="F405" t="str">
            <v>31/12/2026</v>
          </cell>
          <cell r="G405" t="str">
            <v>2026 YaHala Delivery - Abu Dhabi Offers</v>
          </cell>
          <cell r="H405" t="str">
            <v>a0CTi00005KAj1QMAT</v>
          </cell>
          <cell r="I405" t="str">
            <v>L26ADDLYA</v>
          </cell>
          <cell r="J405" t="str">
            <v>Active</v>
          </cell>
          <cell r="K405">
            <v>46022</v>
          </cell>
          <cell r="L405" t="str">
            <v>Abu Dhabi</v>
          </cell>
        </row>
        <row r="406">
          <cell r="A406" t="str">
            <v>X23943889</v>
          </cell>
          <cell r="C406" t="str">
            <v>Grizlis Creperie &amp; Swirls</v>
          </cell>
          <cell r="D406" t="str">
            <v>% Off</v>
          </cell>
          <cell r="E406">
            <v>46023</v>
          </cell>
          <cell r="F406" t="str">
            <v>31/12/2026</v>
          </cell>
          <cell r="G406" t="str">
            <v>2026 YaHala Delivery - Dubai Offers</v>
          </cell>
          <cell r="H406" t="str">
            <v>a0CTi00005KB4LaMAL</v>
          </cell>
          <cell r="I406" t="str">
            <v>L26DBDLYA</v>
          </cell>
          <cell r="J406" t="str">
            <v>Active</v>
          </cell>
          <cell r="K406">
            <v>45684</v>
          </cell>
          <cell r="L406" t="str">
            <v>Dubai</v>
          </cell>
        </row>
        <row r="407">
          <cell r="A407" t="str">
            <v>X23870372</v>
          </cell>
          <cell r="C407" t="str">
            <v>Community Cafe</v>
          </cell>
          <cell r="D407" t="str">
            <v>% Off</v>
          </cell>
          <cell r="E407">
            <v>46023</v>
          </cell>
          <cell r="F407" t="str">
            <v>31/12/2026</v>
          </cell>
          <cell r="G407" t="str">
            <v>2026 YaHala Delivery - Dubai Offers</v>
          </cell>
          <cell r="H407" t="str">
            <v>a0CTi00005KB4LaMAL</v>
          </cell>
          <cell r="I407" t="str">
            <v>L26DBDLYA</v>
          </cell>
          <cell r="J407" t="str">
            <v>Active</v>
          </cell>
          <cell r="K407">
            <v>45720</v>
          </cell>
          <cell r="L407" t="str">
            <v>Dubai</v>
          </cell>
        </row>
        <row r="408">
          <cell r="A408" t="str">
            <v>X23895035</v>
          </cell>
          <cell r="C408" t="str">
            <v>JJ Chicken</v>
          </cell>
          <cell r="D408" t="str">
            <v>% Off</v>
          </cell>
          <cell r="E408">
            <v>46023</v>
          </cell>
          <cell r="F408" t="str">
            <v>31/12/2026</v>
          </cell>
          <cell r="G408" t="str">
            <v>2026 YaHala Delivery - Dubai Offers</v>
          </cell>
          <cell r="H408" t="str">
            <v>a0CTi00005KB4LaMAL</v>
          </cell>
          <cell r="I408" t="str">
            <v>L26DBDLYA</v>
          </cell>
          <cell r="J408" t="str">
            <v>Active</v>
          </cell>
          <cell r="K408">
            <v>45728</v>
          </cell>
          <cell r="L408" t="str">
            <v>Dubai</v>
          </cell>
        </row>
        <row r="409">
          <cell r="A409" t="str">
            <v>X23483608</v>
          </cell>
          <cell r="C409" t="str">
            <v>Jamaica Blue</v>
          </cell>
          <cell r="D409" t="str">
            <v>% Off</v>
          </cell>
          <cell r="E409">
            <v>46023</v>
          </cell>
          <cell r="F409" t="str">
            <v>31/12/2026</v>
          </cell>
          <cell r="G409" t="str">
            <v>2026 YaHala Delivery - Dubai Offers</v>
          </cell>
          <cell r="H409" t="str">
            <v>a0CTi00005KB4LaMAL</v>
          </cell>
          <cell r="I409" t="str">
            <v>L26DBDLYA</v>
          </cell>
          <cell r="J409" t="str">
            <v>Active</v>
          </cell>
          <cell r="K409">
            <v>45730</v>
          </cell>
          <cell r="L409" t="str">
            <v>Dubai</v>
          </cell>
        </row>
        <row r="410">
          <cell r="A410" t="str">
            <v>X23930894</v>
          </cell>
          <cell r="C410" t="str">
            <v>Texas Fire Grill</v>
          </cell>
          <cell r="D410" t="str">
            <v>% Off</v>
          </cell>
          <cell r="E410">
            <v>46023</v>
          </cell>
          <cell r="F410" t="str">
            <v>31/12/2026</v>
          </cell>
          <cell r="G410" t="str">
            <v>2026 YaHala Delivery - Dubai Offers</v>
          </cell>
          <cell r="H410" t="str">
            <v>a0CTi00005KB4LaMAL</v>
          </cell>
          <cell r="I410" t="str">
            <v>L26DBDLYA</v>
          </cell>
          <cell r="J410" t="str">
            <v>Active</v>
          </cell>
          <cell r="K410">
            <v>45730</v>
          </cell>
          <cell r="L410" t="str">
            <v>Dubai</v>
          </cell>
        </row>
        <row r="411">
          <cell r="A411" t="str">
            <v>X036003</v>
          </cell>
          <cell r="C411" t="str">
            <v>The Pizza Company</v>
          </cell>
          <cell r="D411" t="str">
            <v>% Off</v>
          </cell>
          <cell r="E411">
            <v>46023</v>
          </cell>
          <cell r="F411" t="str">
            <v>31/12/2026</v>
          </cell>
          <cell r="G411" t="str">
            <v>2026 YaHala Delivery - Dubai Offers</v>
          </cell>
          <cell r="H411" t="str">
            <v>a0CTi00005KB4LaMAL</v>
          </cell>
          <cell r="I411" t="str">
            <v>L26DBDLYA</v>
          </cell>
          <cell r="J411" t="str">
            <v>Active</v>
          </cell>
          <cell r="K411">
            <v>45733</v>
          </cell>
          <cell r="L411" t="str">
            <v>Dubai</v>
          </cell>
        </row>
        <row r="412">
          <cell r="A412" t="str">
            <v>X23934399</v>
          </cell>
          <cell r="C412" t="str">
            <v>Behrouz Biryani</v>
          </cell>
          <cell r="D412" t="str">
            <v>% Off</v>
          </cell>
          <cell r="E412">
            <v>46023</v>
          </cell>
          <cell r="F412" t="str">
            <v>31/12/2026</v>
          </cell>
          <cell r="G412" t="str">
            <v>2026 YaHala Delivery - Dubai Offers</v>
          </cell>
          <cell r="H412" t="str">
            <v>a0CTi00005KB4LaMAL</v>
          </cell>
          <cell r="I412" t="str">
            <v>L26DBDLYA</v>
          </cell>
          <cell r="J412" t="str">
            <v>Active</v>
          </cell>
          <cell r="K412">
            <v>45736</v>
          </cell>
          <cell r="L412" t="str">
            <v>Dubai</v>
          </cell>
        </row>
        <row r="413">
          <cell r="A413" t="str">
            <v>X23899372</v>
          </cell>
          <cell r="C413" t="str">
            <v>Hakka Bros</v>
          </cell>
          <cell r="D413" t="str">
            <v>% Off</v>
          </cell>
          <cell r="E413">
            <v>46023</v>
          </cell>
          <cell r="F413" t="str">
            <v>31/12/2026</v>
          </cell>
          <cell r="G413" t="str">
            <v>2026 YaHala Delivery - Dubai Offers</v>
          </cell>
          <cell r="H413" t="str">
            <v>a0CTi00005KB4LaMAL</v>
          </cell>
          <cell r="I413" t="str">
            <v>L26DBDLYA</v>
          </cell>
          <cell r="J413" t="str">
            <v>Active</v>
          </cell>
          <cell r="K413">
            <v>45736</v>
          </cell>
          <cell r="L413" t="str">
            <v>Dubai</v>
          </cell>
        </row>
        <row r="414">
          <cell r="A414" t="str">
            <v>X23934401</v>
          </cell>
          <cell r="C414" t="str">
            <v>Fricken Chicken</v>
          </cell>
          <cell r="D414" t="str">
            <v>% Off</v>
          </cell>
          <cell r="E414">
            <v>46023</v>
          </cell>
          <cell r="F414" t="str">
            <v>31/12/2026</v>
          </cell>
          <cell r="G414" t="str">
            <v>2026 YaHala Delivery - Dubai Offers</v>
          </cell>
          <cell r="H414" t="str">
            <v>a0CTi00005KB4LaMAL</v>
          </cell>
          <cell r="I414" t="str">
            <v>L26DBDLYA</v>
          </cell>
          <cell r="J414" t="str">
            <v>Active</v>
          </cell>
          <cell r="K414">
            <v>45736</v>
          </cell>
          <cell r="L414" t="str">
            <v>Dubai</v>
          </cell>
        </row>
        <row r="415">
          <cell r="A415" t="str">
            <v>X23899370</v>
          </cell>
          <cell r="C415" t="str">
            <v>Faasos</v>
          </cell>
          <cell r="D415" t="str">
            <v>% Off</v>
          </cell>
          <cell r="E415">
            <v>46023</v>
          </cell>
          <cell r="F415" t="str">
            <v>31/12/2026</v>
          </cell>
          <cell r="G415" t="str">
            <v>2026 YaHala Delivery - Dubai Offers</v>
          </cell>
          <cell r="H415" t="str">
            <v>a0CTi00005KB4LaMAL</v>
          </cell>
          <cell r="I415" t="str">
            <v>L26DBDLYA</v>
          </cell>
          <cell r="J415" t="str">
            <v>Active</v>
          </cell>
          <cell r="K415">
            <v>45736</v>
          </cell>
          <cell r="L415" t="str">
            <v>Dubai</v>
          </cell>
        </row>
        <row r="416">
          <cell r="A416" t="str">
            <v>X23934400</v>
          </cell>
          <cell r="C416" t="str">
            <v>Mandarin Oak</v>
          </cell>
          <cell r="D416" t="str">
            <v>% Off</v>
          </cell>
          <cell r="E416">
            <v>46023</v>
          </cell>
          <cell r="F416" t="str">
            <v>31/12/2026</v>
          </cell>
          <cell r="G416" t="str">
            <v>2026 YaHala Delivery - Dubai Offers</v>
          </cell>
          <cell r="H416" t="str">
            <v>a0CTi00005KB4LaMAL</v>
          </cell>
          <cell r="I416" t="str">
            <v>L26DBDLYA</v>
          </cell>
          <cell r="J416" t="str">
            <v>Active</v>
          </cell>
          <cell r="K416">
            <v>45736</v>
          </cell>
          <cell r="L416" t="str">
            <v>Dubai</v>
          </cell>
        </row>
        <row r="417">
          <cell r="A417" t="str">
            <v>X23929928</v>
          </cell>
          <cell r="C417" t="str">
            <v>Honest Bowl</v>
          </cell>
          <cell r="D417" t="str">
            <v>% Off</v>
          </cell>
          <cell r="E417">
            <v>46023</v>
          </cell>
          <cell r="F417" t="str">
            <v>31/12/2026</v>
          </cell>
          <cell r="G417" t="str">
            <v>2026 YaHala Delivery - Dubai Offers</v>
          </cell>
          <cell r="H417" t="str">
            <v>a0CTi00005KB4LaMAL</v>
          </cell>
          <cell r="I417" t="str">
            <v>L26DBDLYA</v>
          </cell>
          <cell r="J417" t="str">
            <v>Active</v>
          </cell>
          <cell r="K417">
            <v>45736</v>
          </cell>
          <cell r="L417" t="str">
            <v>Dubai</v>
          </cell>
        </row>
        <row r="418">
          <cell r="A418" t="str">
            <v>X23924539</v>
          </cell>
          <cell r="C418" t="str">
            <v>Messy Burger</v>
          </cell>
          <cell r="D418" t="str">
            <v>% Off</v>
          </cell>
          <cell r="E418">
            <v>46023</v>
          </cell>
          <cell r="F418" t="str">
            <v>31/12/2026</v>
          </cell>
          <cell r="G418" t="str">
            <v>2026 YaHala Delivery - Dubai Offers</v>
          </cell>
          <cell r="H418" t="str">
            <v>a0CTi00005KB4LaMAL</v>
          </cell>
          <cell r="I418" t="str">
            <v>L26DBDLYA</v>
          </cell>
          <cell r="J418" t="str">
            <v>Active</v>
          </cell>
          <cell r="K418">
            <v>45736</v>
          </cell>
          <cell r="L418" t="str">
            <v>Dubai</v>
          </cell>
        </row>
        <row r="419">
          <cell r="A419" t="str">
            <v>X23929925</v>
          </cell>
          <cell r="C419" t="str">
            <v>Momo Bros</v>
          </cell>
          <cell r="D419" t="str">
            <v>% Off</v>
          </cell>
          <cell r="E419">
            <v>46023</v>
          </cell>
          <cell r="F419" t="str">
            <v>31/12/2026</v>
          </cell>
          <cell r="G419" t="str">
            <v>2026 YaHala Delivery - Dubai Offers</v>
          </cell>
          <cell r="H419" t="str">
            <v>a0CTi00005KB4LaMAL</v>
          </cell>
          <cell r="I419" t="str">
            <v>L26DBDLYA</v>
          </cell>
          <cell r="J419" t="str">
            <v>Active</v>
          </cell>
          <cell r="K419">
            <v>45736</v>
          </cell>
          <cell r="L419" t="str">
            <v>Dubai</v>
          </cell>
        </row>
        <row r="420">
          <cell r="A420" t="str">
            <v>X23899376</v>
          </cell>
          <cell r="C420" t="str">
            <v>Lunch Box</v>
          </cell>
          <cell r="D420" t="str">
            <v>% Off</v>
          </cell>
          <cell r="E420">
            <v>46023</v>
          </cell>
          <cell r="F420" t="str">
            <v>31/12/2026</v>
          </cell>
          <cell r="G420" t="str">
            <v>2026 YaHala Delivery - Dubai Offers</v>
          </cell>
          <cell r="H420" t="str">
            <v>a0CTi00005KB4LaMAL</v>
          </cell>
          <cell r="I420" t="str">
            <v>L26DBDLYA</v>
          </cell>
          <cell r="J420" t="str">
            <v>Active</v>
          </cell>
          <cell r="K420">
            <v>45736</v>
          </cell>
          <cell r="L420" t="str">
            <v>Dubai</v>
          </cell>
        </row>
        <row r="421">
          <cell r="A421" t="str">
            <v>X23899136</v>
          </cell>
          <cell r="C421" t="str">
            <v>Ovenstory Pizza</v>
          </cell>
          <cell r="D421" t="str">
            <v>% Off</v>
          </cell>
          <cell r="E421">
            <v>46023</v>
          </cell>
          <cell r="F421" t="str">
            <v>31/12/2026</v>
          </cell>
          <cell r="G421" t="str">
            <v>2026 YaHala Delivery - Dubai Offers</v>
          </cell>
          <cell r="H421" t="str">
            <v>a0CTi00005KB4LaMAL</v>
          </cell>
          <cell r="I421" t="str">
            <v>L26DBDLYA</v>
          </cell>
          <cell r="J421" t="str">
            <v>Active</v>
          </cell>
          <cell r="K421">
            <v>45736</v>
          </cell>
          <cell r="L421" t="str">
            <v>Dubai</v>
          </cell>
        </row>
        <row r="422">
          <cell r="A422" t="str">
            <v>X23899374</v>
          </cell>
          <cell r="C422" t="str">
            <v>Pizza Bros</v>
          </cell>
          <cell r="D422" t="str">
            <v>% Off</v>
          </cell>
          <cell r="E422">
            <v>46023</v>
          </cell>
          <cell r="F422" t="str">
            <v>31/12/2026</v>
          </cell>
          <cell r="G422" t="str">
            <v>2026 YaHala Delivery - Dubai Offers</v>
          </cell>
          <cell r="H422" t="str">
            <v>a0CTi00005KB4LaMAL</v>
          </cell>
          <cell r="I422" t="str">
            <v>L26DBDLYA</v>
          </cell>
          <cell r="J422" t="str">
            <v>Active</v>
          </cell>
          <cell r="K422">
            <v>45736</v>
          </cell>
          <cell r="L422" t="str">
            <v>Dubai</v>
          </cell>
        </row>
        <row r="423">
          <cell r="A423" t="str">
            <v>X23899140</v>
          </cell>
          <cell r="C423" t="str">
            <v>Sweet Truth</v>
          </cell>
          <cell r="D423" t="str">
            <v>% Off</v>
          </cell>
          <cell r="E423">
            <v>46023</v>
          </cell>
          <cell r="F423" t="str">
            <v>31/12/2026</v>
          </cell>
          <cell r="G423" t="str">
            <v>2026 YaHala Delivery - Dubai Offers</v>
          </cell>
          <cell r="H423" t="str">
            <v>a0CTi00005KB4LaMAL</v>
          </cell>
          <cell r="I423" t="str">
            <v>L26DBDLYA</v>
          </cell>
          <cell r="J423" t="str">
            <v>Active</v>
          </cell>
          <cell r="K423">
            <v>45736</v>
          </cell>
          <cell r="L423" t="str">
            <v>Dubai</v>
          </cell>
        </row>
        <row r="424">
          <cell r="A424" t="str">
            <v>X23934398</v>
          </cell>
          <cell r="C424" t="str">
            <v>The 500 Calorie Project</v>
          </cell>
          <cell r="D424" t="str">
            <v>% Off</v>
          </cell>
          <cell r="E424">
            <v>46023</v>
          </cell>
          <cell r="F424" t="str">
            <v>31/12/2026</v>
          </cell>
          <cell r="G424" t="str">
            <v>2026 YaHala Delivery - Dubai Offers</v>
          </cell>
          <cell r="H424" t="str">
            <v>a0CTi00005KB4LaMAL</v>
          </cell>
          <cell r="I424" t="str">
            <v>L26DBDLYA</v>
          </cell>
          <cell r="J424" t="str">
            <v>Active</v>
          </cell>
          <cell r="K424">
            <v>45737</v>
          </cell>
          <cell r="L424" t="str">
            <v>Dubai</v>
          </cell>
        </row>
        <row r="425">
          <cell r="A425" t="str">
            <v>X037810</v>
          </cell>
          <cell r="C425" t="str">
            <v>Asha's</v>
          </cell>
          <cell r="D425" t="str">
            <v>% Off</v>
          </cell>
          <cell r="E425">
            <v>46023</v>
          </cell>
          <cell r="F425" t="str">
            <v>31/12/2026</v>
          </cell>
          <cell r="G425" t="str">
            <v>2026 YaHala Delivery - Dubai Offers</v>
          </cell>
          <cell r="H425" t="str">
            <v>a0CTi00005KB4LaMAL</v>
          </cell>
          <cell r="I425" t="str">
            <v>L26DBDLYA</v>
          </cell>
          <cell r="J425" t="str">
            <v>Active</v>
          </cell>
          <cell r="K425">
            <v>45755</v>
          </cell>
          <cell r="L425" t="str">
            <v>Dubai</v>
          </cell>
        </row>
        <row r="426">
          <cell r="A426" t="str">
            <v>X23953238</v>
          </cell>
          <cell r="C426" t="str">
            <v>Le Fournil Bakery</v>
          </cell>
          <cell r="D426" t="str">
            <v>% Off</v>
          </cell>
          <cell r="E426">
            <v>46023</v>
          </cell>
          <cell r="F426" t="str">
            <v>31/12/2026</v>
          </cell>
          <cell r="G426" t="str">
            <v>2026 YaHala Delivery - Dubai Offers</v>
          </cell>
          <cell r="H426" t="str">
            <v>a0CTi00005KB4LaMAL</v>
          </cell>
          <cell r="I426" t="str">
            <v>L26DBDLYA</v>
          </cell>
          <cell r="J426" t="str">
            <v>Active</v>
          </cell>
          <cell r="K426">
            <v>45772</v>
          </cell>
          <cell r="L426" t="str">
            <v>Dubai</v>
          </cell>
        </row>
        <row r="427">
          <cell r="A427" t="str">
            <v>X23953259</v>
          </cell>
          <cell r="C427" t="str">
            <v>Scooters Pizza</v>
          </cell>
          <cell r="D427" t="str">
            <v>% Off</v>
          </cell>
          <cell r="E427">
            <v>46023</v>
          </cell>
          <cell r="F427" t="str">
            <v>31/12/2026</v>
          </cell>
          <cell r="G427" t="str">
            <v>2026 YaHala Delivery - Dubai Offers</v>
          </cell>
          <cell r="H427" t="str">
            <v>a0CTi00005KB4LaMAL</v>
          </cell>
          <cell r="I427" t="str">
            <v>L26DBDLYA</v>
          </cell>
          <cell r="J427" t="str">
            <v>Active</v>
          </cell>
          <cell r="K427">
            <v>45776</v>
          </cell>
          <cell r="L427" t="str">
            <v>Dubai</v>
          </cell>
        </row>
        <row r="428">
          <cell r="A428" t="str">
            <v>X21731654</v>
          </cell>
          <cell r="C428" t="str">
            <v>Debonairs Pizza</v>
          </cell>
          <cell r="D428" t="str">
            <v>% Off</v>
          </cell>
          <cell r="E428">
            <v>46023</v>
          </cell>
          <cell r="F428" t="str">
            <v>31/12/2026</v>
          </cell>
          <cell r="G428" t="str">
            <v>2026 YaHala Delivery - Dubai Offers</v>
          </cell>
          <cell r="H428" t="str">
            <v>a0CTi00005KB4LaMAL</v>
          </cell>
          <cell r="I428" t="str">
            <v>L26DBDLYA</v>
          </cell>
          <cell r="J428" t="str">
            <v>Active</v>
          </cell>
          <cell r="K428">
            <v>45776</v>
          </cell>
          <cell r="L428" t="str">
            <v>Dubai</v>
          </cell>
        </row>
        <row r="429">
          <cell r="A429" t="str">
            <v>X23911351</v>
          </cell>
          <cell r="C429" t="str">
            <v>Smorrebrod</v>
          </cell>
          <cell r="D429" t="str">
            <v>% Off</v>
          </cell>
          <cell r="E429">
            <v>46023</v>
          </cell>
          <cell r="F429" t="str">
            <v>31/12/2026</v>
          </cell>
          <cell r="G429" t="str">
            <v>2026 YaHala Delivery - Dubai Offers</v>
          </cell>
          <cell r="H429" t="str">
            <v>a0CTi00005KB4LaMAL</v>
          </cell>
          <cell r="I429" t="str">
            <v>L26DBDLYA</v>
          </cell>
          <cell r="J429" t="str">
            <v>Active</v>
          </cell>
          <cell r="K429">
            <v>45800</v>
          </cell>
          <cell r="L429" t="str">
            <v>Dubai</v>
          </cell>
        </row>
        <row r="430">
          <cell r="A430" t="str">
            <v>X23895835</v>
          </cell>
          <cell r="C430" t="str">
            <v>Freedom Pizza</v>
          </cell>
          <cell r="D430" t="str">
            <v>% Off</v>
          </cell>
          <cell r="E430">
            <v>46023</v>
          </cell>
          <cell r="F430" t="str">
            <v>31/12/2026</v>
          </cell>
          <cell r="G430" t="str">
            <v>2026 YaHala Delivery - Dubai Offers</v>
          </cell>
          <cell r="H430" t="str">
            <v>a0CTi00005KB4LaMAL</v>
          </cell>
          <cell r="I430" t="str">
            <v>L26DBDLYA</v>
          </cell>
          <cell r="J430" t="str">
            <v>Active</v>
          </cell>
          <cell r="K430">
            <v>45804</v>
          </cell>
          <cell r="L430" t="str">
            <v>Dubai</v>
          </cell>
        </row>
        <row r="431">
          <cell r="A431" t="str">
            <v>X23921562</v>
          </cell>
          <cell r="C431" t="str">
            <v>Sal's Bistro</v>
          </cell>
          <cell r="D431" t="str">
            <v>% Off</v>
          </cell>
          <cell r="E431">
            <v>46023</v>
          </cell>
          <cell r="F431" t="str">
            <v>31/12/2026</v>
          </cell>
          <cell r="G431" t="str">
            <v>2026 YaHala Delivery - Dubai Offers</v>
          </cell>
          <cell r="H431" t="str">
            <v>a0CTi00005KB4LaMAL</v>
          </cell>
          <cell r="I431" t="str">
            <v>L26DBDLYA</v>
          </cell>
          <cell r="J431" t="str">
            <v>Active</v>
          </cell>
          <cell r="K431">
            <v>45807</v>
          </cell>
          <cell r="L431" t="str">
            <v>Dubai</v>
          </cell>
        </row>
        <row r="432">
          <cell r="A432" t="str">
            <v>X23909101</v>
          </cell>
          <cell r="C432" t="str">
            <v>KOBEYa</v>
          </cell>
          <cell r="D432" t="str">
            <v>% Off</v>
          </cell>
          <cell r="E432">
            <v>46023</v>
          </cell>
          <cell r="F432" t="str">
            <v>31/12/2026</v>
          </cell>
          <cell r="G432" t="str">
            <v>2026 YaHala Delivery - Dubai Offers</v>
          </cell>
          <cell r="H432" t="str">
            <v>a0CTi00005KB4LaMAL</v>
          </cell>
          <cell r="I432" t="str">
            <v>L26DBDLYA</v>
          </cell>
          <cell r="J432" t="str">
            <v>Active</v>
          </cell>
          <cell r="K432">
            <v>45807</v>
          </cell>
          <cell r="L432" t="str">
            <v>Dubai</v>
          </cell>
        </row>
        <row r="433">
          <cell r="A433" t="str">
            <v>X21147904</v>
          </cell>
          <cell r="C433" t="str">
            <v>Urban Seafood</v>
          </cell>
          <cell r="D433" t="str">
            <v>% Off</v>
          </cell>
          <cell r="E433">
            <v>46023</v>
          </cell>
          <cell r="F433" t="str">
            <v>31/12/2026</v>
          </cell>
          <cell r="G433" t="str">
            <v>2026 YaHala Delivery - Dubai Offers</v>
          </cell>
          <cell r="H433" t="str">
            <v>a0CTi00005KB4LaMAL</v>
          </cell>
          <cell r="I433" t="str">
            <v>L26DBDLYA</v>
          </cell>
          <cell r="J433" t="str">
            <v>Active</v>
          </cell>
          <cell r="K433">
            <v>45811</v>
          </cell>
          <cell r="L433" t="str">
            <v>Dubai</v>
          </cell>
        </row>
        <row r="434">
          <cell r="A434" t="str">
            <v>X23938297</v>
          </cell>
          <cell r="C434" t="str">
            <v>Maestro Pizza</v>
          </cell>
          <cell r="D434" t="str">
            <v>% Off</v>
          </cell>
          <cell r="E434">
            <v>46023</v>
          </cell>
          <cell r="F434" t="str">
            <v>31/12/2026</v>
          </cell>
          <cell r="G434" t="str">
            <v>2026 YaHala Delivery - Dubai Offers</v>
          </cell>
          <cell r="H434" t="str">
            <v>a0CTi00005KB4LaMAL</v>
          </cell>
          <cell r="I434" t="str">
            <v>L26DBDLYA</v>
          </cell>
          <cell r="J434" t="str">
            <v>Active</v>
          </cell>
          <cell r="K434">
            <v>45820</v>
          </cell>
          <cell r="L434" t="str">
            <v>Dubai</v>
          </cell>
        </row>
        <row r="435">
          <cell r="A435" t="str">
            <v>X23880146</v>
          </cell>
          <cell r="C435" t="str">
            <v>Semsom</v>
          </cell>
          <cell r="D435" t="str">
            <v>% Off</v>
          </cell>
          <cell r="E435">
            <v>46023</v>
          </cell>
          <cell r="F435" t="str">
            <v>31/12/2026</v>
          </cell>
          <cell r="G435" t="str">
            <v>2026 YaHala Delivery - Dubai Offers</v>
          </cell>
          <cell r="H435" t="str">
            <v>a0CTi00005KB4LaMAL</v>
          </cell>
          <cell r="I435" t="str">
            <v>L26DBDLYA</v>
          </cell>
          <cell r="J435" t="str">
            <v>Active</v>
          </cell>
          <cell r="K435">
            <v>45827</v>
          </cell>
          <cell r="L435" t="str">
            <v>Dubai</v>
          </cell>
        </row>
        <row r="436">
          <cell r="A436" t="str">
            <v>X23936874</v>
          </cell>
          <cell r="C436" t="str">
            <v>Circle of Crust</v>
          </cell>
          <cell r="D436" t="str">
            <v>% Off</v>
          </cell>
          <cell r="E436">
            <v>46023</v>
          </cell>
          <cell r="F436" t="str">
            <v>31/12/2026</v>
          </cell>
          <cell r="G436" t="str">
            <v>2026 YaHala Delivery - Dubai Offers</v>
          </cell>
          <cell r="H436" t="str">
            <v>a0CTi00005KB4LaMAL</v>
          </cell>
          <cell r="I436" t="str">
            <v>L26DBDLYA</v>
          </cell>
          <cell r="J436" t="str">
            <v>Active</v>
          </cell>
          <cell r="K436">
            <v>45840</v>
          </cell>
          <cell r="L436" t="str">
            <v>Dubai</v>
          </cell>
        </row>
        <row r="437">
          <cell r="A437" t="str">
            <v>X23917687</v>
          </cell>
          <cell r="C437" t="str">
            <v>Sushi Me Restaurant</v>
          </cell>
          <cell r="D437" t="str">
            <v>% Off</v>
          </cell>
          <cell r="E437">
            <v>46023</v>
          </cell>
          <cell r="F437" t="str">
            <v>31/12/2026</v>
          </cell>
          <cell r="G437" t="str">
            <v>2026 YaHala Delivery - Dubai Offers</v>
          </cell>
          <cell r="H437" t="str">
            <v>a0CTi00005KB4LaMAL</v>
          </cell>
          <cell r="I437" t="str">
            <v>L26DBDLYA</v>
          </cell>
          <cell r="J437" t="str">
            <v>Active</v>
          </cell>
          <cell r="K437">
            <v>45845</v>
          </cell>
          <cell r="L437" t="str">
            <v>Dubai</v>
          </cell>
        </row>
        <row r="438">
          <cell r="A438" t="str">
            <v>X22244423</v>
          </cell>
          <cell r="C438" t="str">
            <v>Moshi - Momo &amp; Sushi</v>
          </cell>
          <cell r="D438" t="str">
            <v>% Off</v>
          </cell>
          <cell r="E438">
            <v>46023</v>
          </cell>
          <cell r="F438" t="str">
            <v>31/12/2026</v>
          </cell>
          <cell r="G438" t="str">
            <v>2026 YaHala Delivery - Dubai Offers</v>
          </cell>
          <cell r="H438" t="str">
            <v>a0CTi00005KB4LaMAL</v>
          </cell>
          <cell r="I438" t="str">
            <v>L26DBDLYA</v>
          </cell>
          <cell r="J438" t="str">
            <v>Active</v>
          </cell>
          <cell r="K438">
            <v>45849</v>
          </cell>
          <cell r="L438" t="str">
            <v>Dubai</v>
          </cell>
        </row>
        <row r="439">
          <cell r="A439" t="str">
            <v>X037323</v>
          </cell>
          <cell r="C439" t="str">
            <v>Soy</v>
          </cell>
          <cell r="D439" t="str">
            <v>% Off</v>
          </cell>
          <cell r="E439">
            <v>46023</v>
          </cell>
          <cell r="F439" t="str">
            <v>31/12/2026</v>
          </cell>
          <cell r="G439" t="str">
            <v>2026 YaHala Delivery - Dubai Offers</v>
          </cell>
          <cell r="H439" t="str">
            <v>a0CTi00005KB4LaMAL</v>
          </cell>
          <cell r="I439" t="str">
            <v>L26DBDLYA</v>
          </cell>
          <cell r="J439" t="str">
            <v>Active</v>
          </cell>
          <cell r="K439">
            <v>45859</v>
          </cell>
          <cell r="L439" t="str">
            <v>Dubai</v>
          </cell>
        </row>
        <row r="440">
          <cell r="A440" t="str">
            <v>X23948484</v>
          </cell>
          <cell r="C440" t="str">
            <v>Wings on Fire by Highway 311</v>
          </cell>
          <cell r="D440" t="str">
            <v>% Off</v>
          </cell>
          <cell r="E440">
            <v>46023</v>
          </cell>
          <cell r="F440" t="str">
            <v>31/12/2026</v>
          </cell>
          <cell r="G440" t="str">
            <v>2026 YaHala Delivery - Dubai Offers</v>
          </cell>
          <cell r="H440" t="str">
            <v>a0CTi00005KB4LaMAL</v>
          </cell>
          <cell r="I440" t="str">
            <v>L26DBDLYA</v>
          </cell>
          <cell r="J440" t="str">
            <v>Active</v>
          </cell>
          <cell r="K440">
            <v>45861</v>
          </cell>
          <cell r="L440" t="str">
            <v>Dubai</v>
          </cell>
        </row>
        <row r="441">
          <cell r="A441" t="str">
            <v>X23948072</v>
          </cell>
          <cell r="C441" t="str">
            <v>Mexican Street Food</v>
          </cell>
          <cell r="D441" t="str">
            <v>% Off</v>
          </cell>
          <cell r="E441">
            <v>46023</v>
          </cell>
          <cell r="F441" t="str">
            <v>31/12/2026</v>
          </cell>
          <cell r="G441" t="str">
            <v>2026 YaHala Delivery - Dubai Offers</v>
          </cell>
          <cell r="H441" t="str">
            <v>a0CTi00005KB4LaMAL</v>
          </cell>
          <cell r="I441" t="str">
            <v>L26DBDLYA</v>
          </cell>
          <cell r="J441" t="str">
            <v>Active</v>
          </cell>
          <cell r="K441">
            <v>45861</v>
          </cell>
          <cell r="L441" t="str">
            <v>Dubai</v>
          </cell>
        </row>
        <row r="442">
          <cell r="A442" t="str">
            <v>X23928718</v>
          </cell>
          <cell r="C442" t="str">
            <v>Burrito Bowl and Co</v>
          </cell>
          <cell r="D442" t="str">
            <v>% Off</v>
          </cell>
          <cell r="E442">
            <v>46023</v>
          </cell>
          <cell r="F442" t="str">
            <v>31/12/2026</v>
          </cell>
          <cell r="G442" t="str">
            <v>2026 YaHala Delivery - Dubai Offers</v>
          </cell>
          <cell r="H442" t="str">
            <v>a0CTi00005KB4LaMAL</v>
          </cell>
          <cell r="I442" t="str">
            <v>L26DBDLYA</v>
          </cell>
          <cell r="J442" t="str">
            <v>Active</v>
          </cell>
          <cell r="K442">
            <v>45861</v>
          </cell>
          <cell r="L442" t="str">
            <v>Dubai</v>
          </cell>
        </row>
        <row r="443">
          <cell r="A443" t="str">
            <v>X23948483</v>
          </cell>
          <cell r="C443" t="str">
            <v>Gosto Do Brasil</v>
          </cell>
          <cell r="D443" t="str">
            <v>% Off</v>
          </cell>
          <cell r="E443">
            <v>46023</v>
          </cell>
          <cell r="F443" t="str">
            <v>31/12/2026</v>
          </cell>
          <cell r="G443" t="str">
            <v>2026 YaHala Delivery - Dubai Offers</v>
          </cell>
          <cell r="H443" t="str">
            <v>a0CTi00005KB4LaMAL</v>
          </cell>
          <cell r="I443" t="str">
            <v>L26DBDLYA</v>
          </cell>
          <cell r="J443" t="str">
            <v>Active</v>
          </cell>
          <cell r="K443">
            <v>45861</v>
          </cell>
          <cell r="L443" t="str">
            <v>Dubai</v>
          </cell>
        </row>
        <row r="444">
          <cell r="A444" t="str">
            <v>X23938788</v>
          </cell>
          <cell r="C444" t="str">
            <v>Puro Purely Peruvian</v>
          </cell>
          <cell r="D444" t="str">
            <v>% Off</v>
          </cell>
          <cell r="E444">
            <v>46023</v>
          </cell>
          <cell r="F444" t="str">
            <v>31/12/2026</v>
          </cell>
          <cell r="G444" t="str">
            <v>2026 YaHala Delivery - Dubai Offers</v>
          </cell>
          <cell r="H444" t="str">
            <v>a0CTi00005KB4LaMAL</v>
          </cell>
          <cell r="I444" t="str">
            <v>L26DBDLYA</v>
          </cell>
          <cell r="J444" t="str">
            <v>Active</v>
          </cell>
          <cell r="K444">
            <v>45861</v>
          </cell>
          <cell r="L444" t="str">
            <v>Dubai</v>
          </cell>
        </row>
        <row r="445">
          <cell r="A445" t="str">
            <v>X23948485</v>
          </cell>
          <cell r="C445" t="str">
            <v>Borshkovia Russian Kitchen</v>
          </cell>
          <cell r="D445" t="str">
            <v>% Off</v>
          </cell>
          <cell r="E445">
            <v>46023</v>
          </cell>
          <cell r="F445" t="str">
            <v>31/12/2026</v>
          </cell>
          <cell r="G445" t="str">
            <v>2026 YaHala Delivery - Dubai Offers</v>
          </cell>
          <cell r="H445" t="str">
            <v>a0CTi00005KB4LaMAL</v>
          </cell>
          <cell r="I445" t="str">
            <v>L26DBDLYA</v>
          </cell>
          <cell r="J445" t="str">
            <v>Active</v>
          </cell>
          <cell r="K445">
            <v>45861</v>
          </cell>
          <cell r="L445" t="str">
            <v>Dubai</v>
          </cell>
        </row>
        <row r="446">
          <cell r="A446" t="str">
            <v>X23890589</v>
          </cell>
          <cell r="C446" t="str">
            <v>HAKO SUSHI - Japanese Cuisine</v>
          </cell>
          <cell r="D446" t="str">
            <v>% Off</v>
          </cell>
          <cell r="E446">
            <v>46023</v>
          </cell>
          <cell r="F446" t="str">
            <v>31/12/2026</v>
          </cell>
          <cell r="G446" t="str">
            <v>2026 YaHala Delivery - Dubai Offers</v>
          </cell>
          <cell r="H446" t="str">
            <v>a0CTi00005KB4LaMAL</v>
          </cell>
          <cell r="I446" t="str">
            <v>L26DBDLYA</v>
          </cell>
          <cell r="J446" t="str">
            <v>Active</v>
          </cell>
          <cell r="K446">
            <v>45862</v>
          </cell>
          <cell r="L446" t="str">
            <v>Dubai</v>
          </cell>
        </row>
        <row r="447">
          <cell r="A447" t="str">
            <v>X21821478</v>
          </cell>
          <cell r="C447" t="str">
            <v>Highway 311</v>
          </cell>
          <cell r="D447" t="str">
            <v>% Off</v>
          </cell>
          <cell r="E447">
            <v>46023</v>
          </cell>
          <cell r="F447" t="str">
            <v>31/12/2026</v>
          </cell>
          <cell r="G447" t="str">
            <v>2026 YaHala Delivery - Dubai Offers</v>
          </cell>
          <cell r="H447" t="str">
            <v>a0CTi00005KB4LaMAL</v>
          </cell>
          <cell r="I447" t="str">
            <v>L26DBDLYA</v>
          </cell>
          <cell r="J447" t="str">
            <v>Active</v>
          </cell>
          <cell r="K447">
            <v>45862</v>
          </cell>
          <cell r="L447" t="str">
            <v>Dubai</v>
          </cell>
        </row>
        <row r="448">
          <cell r="A448" t="str">
            <v>X036526</v>
          </cell>
          <cell r="C448" t="str">
            <v>PizzaExpress</v>
          </cell>
          <cell r="D448" t="str">
            <v>% Off</v>
          </cell>
          <cell r="E448">
            <v>46023</v>
          </cell>
          <cell r="F448" t="str">
            <v>31/12/2026</v>
          </cell>
          <cell r="G448" t="str">
            <v>2026 YaHala Delivery - Dubai Offers</v>
          </cell>
          <cell r="H448" t="str">
            <v>a0CTi00005KB4LaMAL</v>
          </cell>
          <cell r="I448" t="str">
            <v>L26DBDLYA</v>
          </cell>
          <cell r="J448" t="str">
            <v>Active</v>
          </cell>
          <cell r="K448">
            <v>45863</v>
          </cell>
          <cell r="L448" t="str">
            <v>Dubai</v>
          </cell>
        </row>
        <row r="449">
          <cell r="A449" t="str">
            <v>X23865345</v>
          </cell>
          <cell r="C449" t="str">
            <v>PizzaExpress Live</v>
          </cell>
          <cell r="D449" t="str">
            <v>% Off</v>
          </cell>
          <cell r="E449">
            <v>46023</v>
          </cell>
          <cell r="F449" t="str">
            <v>31/12/2026</v>
          </cell>
          <cell r="G449" t="str">
            <v>2026 YaHala Delivery - Dubai Offers</v>
          </cell>
          <cell r="H449" t="str">
            <v>a0CTi00005KB4LaMAL</v>
          </cell>
          <cell r="I449" t="str">
            <v>L26DBDLYA</v>
          </cell>
          <cell r="J449" t="str">
            <v>Active</v>
          </cell>
          <cell r="K449">
            <v>45863</v>
          </cell>
          <cell r="L449" t="str">
            <v>Dubai</v>
          </cell>
        </row>
        <row r="450">
          <cell r="A450" t="str">
            <v>X23954899</v>
          </cell>
          <cell r="C450" t="str">
            <v>Ceviche Factory</v>
          </cell>
          <cell r="D450" t="str">
            <v>% Off</v>
          </cell>
          <cell r="E450">
            <v>46023</v>
          </cell>
          <cell r="F450" t="str">
            <v>31/12/2026</v>
          </cell>
          <cell r="G450" t="str">
            <v>2026 YaHala Delivery - Dubai Offers</v>
          </cell>
          <cell r="H450" t="str">
            <v>a0CTi00005KB4LaMAL</v>
          </cell>
          <cell r="I450" t="str">
            <v>L26DBDLYA</v>
          </cell>
          <cell r="J450" t="str">
            <v>Active</v>
          </cell>
          <cell r="K450">
            <v>45874</v>
          </cell>
          <cell r="L450" t="str">
            <v>Dubai</v>
          </cell>
        </row>
        <row r="451">
          <cell r="A451" t="str">
            <v>X23909932</v>
          </cell>
          <cell r="C451" t="str">
            <v>ChicKing - Dubai</v>
          </cell>
          <cell r="D451" t="str">
            <v>% Off</v>
          </cell>
          <cell r="E451">
            <v>46023</v>
          </cell>
          <cell r="F451" t="str">
            <v>31/12/2026</v>
          </cell>
          <cell r="G451" t="str">
            <v>2026 YaHala Delivery - Dubai Offers</v>
          </cell>
          <cell r="H451" t="str">
            <v>a0CTi00005KB4LaMAL</v>
          </cell>
          <cell r="I451" t="str">
            <v>L26DBDLYA</v>
          </cell>
          <cell r="J451" t="str">
            <v>Active</v>
          </cell>
          <cell r="K451">
            <v>45874</v>
          </cell>
          <cell r="L451" t="str">
            <v>Dubai</v>
          </cell>
        </row>
        <row r="452">
          <cell r="A452" t="str">
            <v>X23128754</v>
          </cell>
          <cell r="C452" t="str">
            <v>Mazah Restaurant</v>
          </cell>
          <cell r="D452" t="str">
            <v>% Off</v>
          </cell>
          <cell r="E452">
            <v>46023</v>
          </cell>
          <cell r="F452" t="str">
            <v>31/12/2026</v>
          </cell>
          <cell r="G452" t="str">
            <v>2026 YaHala Delivery - Dubai Offers</v>
          </cell>
          <cell r="H452" t="str">
            <v>a0CTi00005KB4LaMAL</v>
          </cell>
          <cell r="I452" t="str">
            <v>L26DBDLYA</v>
          </cell>
          <cell r="J452" t="str">
            <v>Active</v>
          </cell>
          <cell r="K452">
            <v>45876</v>
          </cell>
          <cell r="L452" t="str">
            <v>Dubai</v>
          </cell>
        </row>
        <row r="453">
          <cell r="A453" t="str">
            <v>X23918014</v>
          </cell>
          <cell r="C453" t="str">
            <v>Tonino Crepes</v>
          </cell>
          <cell r="D453" t="str">
            <v>% Off</v>
          </cell>
          <cell r="E453">
            <v>46023</v>
          </cell>
          <cell r="F453" t="str">
            <v>31/12/2026</v>
          </cell>
          <cell r="G453" t="str">
            <v>2026 YaHala Delivery - Dubai Offers</v>
          </cell>
          <cell r="H453" t="str">
            <v>a0CTi00005KB4LaMAL</v>
          </cell>
          <cell r="I453" t="str">
            <v>L26DBDLYA</v>
          </cell>
          <cell r="J453" t="str">
            <v>Active</v>
          </cell>
          <cell r="K453">
            <v>45876</v>
          </cell>
          <cell r="L453" t="str">
            <v>Dubai</v>
          </cell>
        </row>
        <row r="454">
          <cell r="A454" t="str">
            <v>X23938556</v>
          </cell>
          <cell r="C454" t="str">
            <v>Khau Galli</v>
          </cell>
          <cell r="D454" t="str">
            <v>% Off</v>
          </cell>
          <cell r="E454">
            <v>46023</v>
          </cell>
          <cell r="F454" t="str">
            <v>31/12/2026</v>
          </cell>
          <cell r="G454" t="str">
            <v>2026 YaHala Delivery - Dubai Offers</v>
          </cell>
          <cell r="H454" t="str">
            <v>a0CTi00005KB4LaMAL</v>
          </cell>
          <cell r="I454" t="str">
            <v>L26DBDLYA</v>
          </cell>
          <cell r="J454" t="str">
            <v>Active</v>
          </cell>
          <cell r="K454">
            <v>45897</v>
          </cell>
          <cell r="L454" t="str">
            <v>Dubai</v>
          </cell>
        </row>
        <row r="455">
          <cell r="A455" t="str">
            <v>X23881257</v>
          </cell>
          <cell r="C455" t="str">
            <v>Levantine</v>
          </cell>
          <cell r="D455" t="str">
            <v>% Off</v>
          </cell>
          <cell r="E455">
            <v>46023</v>
          </cell>
          <cell r="F455" t="str">
            <v>31/12/2026</v>
          </cell>
          <cell r="G455" t="str">
            <v>2026 YaHala Delivery - Dubai Offers</v>
          </cell>
          <cell r="H455" t="str">
            <v>a0CTi00005KB4LaMAL</v>
          </cell>
          <cell r="I455" t="str">
            <v>L26DBDLYA</v>
          </cell>
          <cell r="J455" t="str">
            <v>Active</v>
          </cell>
          <cell r="K455">
            <v>45901</v>
          </cell>
          <cell r="L455" t="str">
            <v>Dubai</v>
          </cell>
        </row>
        <row r="456">
          <cell r="A456" t="str">
            <v>X23895465</v>
          </cell>
          <cell r="C456" t="str">
            <v>Gino's Deli</v>
          </cell>
          <cell r="D456" t="str">
            <v>% Off</v>
          </cell>
          <cell r="E456">
            <v>46023</v>
          </cell>
          <cell r="F456" t="str">
            <v>31/12/2026</v>
          </cell>
          <cell r="G456" t="str">
            <v>2026 YaHala Delivery - Dubai Offers</v>
          </cell>
          <cell r="H456" t="str">
            <v>a0CTi00005KB4LaMAL</v>
          </cell>
          <cell r="I456" t="str">
            <v>L26DBDLYA</v>
          </cell>
          <cell r="J456" t="str">
            <v>Active</v>
          </cell>
          <cell r="K456">
            <v>45904</v>
          </cell>
          <cell r="L456" t="str">
            <v>Dubai</v>
          </cell>
        </row>
        <row r="457">
          <cell r="A457" t="str">
            <v>X035725</v>
          </cell>
          <cell r="C457" t="str">
            <v>SoHo Bar &amp; Grill</v>
          </cell>
          <cell r="D457" t="str">
            <v>% Off</v>
          </cell>
          <cell r="E457">
            <v>46023</v>
          </cell>
          <cell r="F457" t="str">
            <v>31/12/2026</v>
          </cell>
          <cell r="G457" t="str">
            <v>2026 YaHala Delivery - Dubai Offers</v>
          </cell>
          <cell r="H457" t="str">
            <v>a0CTi00005KB4LaMAL</v>
          </cell>
          <cell r="I457" t="str">
            <v>L26DBDLYA</v>
          </cell>
          <cell r="J457" t="str">
            <v>Active</v>
          </cell>
          <cell r="K457">
            <v>45908</v>
          </cell>
          <cell r="L457" t="str">
            <v>Dubai</v>
          </cell>
        </row>
        <row r="458">
          <cell r="A458" t="str">
            <v>X23903812</v>
          </cell>
          <cell r="C458" t="str">
            <v>Chicken Tikka Inn</v>
          </cell>
          <cell r="D458" t="str">
            <v>% Off</v>
          </cell>
          <cell r="E458">
            <v>46023</v>
          </cell>
          <cell r="F458" t="str">
            <v>31/12/2026</v>
          </cell>
          <cell r="G458" t="str">
            <v>2026 YaHala Delivery - Dubai Offers</v>
          </cell>
          <cell r="H458" t="str">
            <v>a0CTi00005KB4LaMAL</v>
          </cell>
          <cell r="I458" t="str">
            <v>L26DBDLYA</v>
          </cell>
          <cell r="J458" t="str">
            <v>Active</v>
          </cell>
          <cell r="K458">
            <v>45911</v>
          </cell>
          <cell r="L458" t="str">
            <v>Dubai</v>
          </cell>
        </row>
        <row r="459">
          <cell r="A459" t="str">
            <v>X23895185</v>
          </cell>
          <cell r="C459" t="str">
            <v>Super Bowl</v>
          </cell>
          <cell r="D459" t="str">
            <v>% Off</v>
          </cell>
          <cell r="E459">
            <v>46023</v>
          </cell>
          <cell r="F459" t="str">
            <v>31/12/2026</v>
          </cell>
          <cell r="G459" t="str">
            <v>2026 YaHala Delivery - Dubai Offers</v>
          </cell>
          <cell r="H459" t="str">
            <v>a0CTi00005KB4LaMAL</v>
          </cell>
          <cell r="I459" t="str">
            <v>L26DBDLYA</v>
          </cell>
          <cell r="J459" t="str">
            <v>Active</v>
          </cell>
          <cell r="K459">
            <v>45918</v>
          </cell>
          <cell r="L459" t="str">
            <v>Dubai</v>
          </cell>
        </row>
        <row r="460">
          <cell r="A460" t="str">
            <v>X22588667</v>
          </cell>
          <cell r="C460" t="str">
            <v>Little Bangkok Thai Restaurant</v>
          </cell>
          <cell r="D460" t="str">
            <v>% Off</v>
          </cell>
          <cell r="E460">
            <v>46023</v>
          </cell>
          <cell r="F460" t="str">
            <v>31/12/2026</v>
          </cell>
          <cell r="G460" t="str">
            <v>2026 YaHala Delivery - Dubai Offers</v>
          </cell>
          <cell r="H460" t="str">
            <v>a0CTi00005KB4LaMAL</v>
          </cell>
          <cell r="I460" t="str">
            <v>L26DBDLYA</v>
          </cell>
          <cell r="J460" t="str">
            <v>Active</v>
          </cell>
          <cell r="K460">
            <v>45918</v>
          </cell>
          <cell r="L460" t="str">
            <v>Dubai</v>
          </cell>
        </row>
        <row r="461">
          <cell r="A461" t="str">
            <v>X23411020</v>
          </cell>
          <cell r="C461" t="str">
            <v>SoHo Cafe</v>
          </cell>
          <cell r="D461" t="str">
            <v>% Off</v>
          </cell>
          <cell r="E461">
            <v>46023</v>
          </cell>
          <cell r="F461" t="str">
            <v>31/12/2026</v>
          </cell>
          <cell r="G461" t="str">
            <v>2026 YaHala Delivery - Dubai Offers</v>
          </cell>
          <cell r="H461" t="str">
            <v>a0CTi00005KB4LaMAL</v>
          </cell>
          <cell r="I461" t="str">
            <v>L26DBDLYA</v>
          </cell>
          <cell r="J461" t="str">
            <v>Active</v>
          </cell>
          <cell r="K461">
            <v>45919</v>
          </cell>
          <cell r="L461" t="str">
            <v>Dubai</v>
          </cell>
        </row>
        <row r="462">
          <cell r="A462" t="str">
            <v>X23875792</v>
          </cell>
          <cell r="C462" t="str">
            <v>Lokmet Gibran</v>
          </cell>
          <cell r="D462" t="str">
            <v>% Off</v>
          </cell>
          <cell r="E462">
            <v>46023</v>
          </cell>
          <cell r="F462" t="str">
            <v>31/12/2026</v>
          </cell>
          <cell r="G462" t="str">
            <v>2026 YaHala Delivery - Dubai Offers</v>
          </cell>
          <cell r="H462" t="str">
            <v>a0CTi00005KB4LaMAL</v>
          </cell>
          <cell r="I462" t="str">
            <v>L26DBDLYA</v>
          </cell>
          <cell r="J462" t="str">
            <v>Active</v>
          </cell>
          <cell r="K462">
            <v>45922</v>
          </cell>
          <cell r="L462" t="str">
            <v>Dubai</v>
          </cell>
        </row>
        <row r="463">
          <cell r="A463" t="str">
            <v>X23294173</v>
          </cell>
          <cell r="C463" t="str">
            <v>Cafe Society</v>
          </cell>
          <cell r="D463" t="str">
            <v>% Off</v>
          </cell>
          <cell r="E463">
            <v>46023</v>
          </cell>
          <cell r="F463" t="str">
            <v>31/12/2026</v>
          </cell>
          <cell r="G463" t="str">
            <v>2026 YaHala Delivery - Dubai Offers</v>
          </cell>
          <cell r="H463" t="str">
            <v>a0CTi00005KB4LaMAL</v>
          </cell>
          <cell r="I463" t="str">
            <v>L26DBDLYA</v>
          </cell>
          <cell r="J463" t="str">
            <v>Active</v>
          </cell>
          <cell r="K463">
            <v>45925</v>
          </cell>
          <cell r="L463" t="str">
            <v>Dubai</v>
          </cell>
        </row>
        <row r="464">
          <cell r="A464" t="str">
            <v>X23894993</v>
          </cell>
          <cell r="C464" t="str">
            <v>Fern EL Balad</v>
          </cell>
          <cell r="D464" t="str">
            <v>% Off</v>
          </cell>
          <cell r="E464">
            <v>46023</v>
          </cell>
          <cell r="F464" t="str">
            <v>31/12/2026</v>
          </cell>
          <cell r="G464" t="str">
            <v>2026 YaHala Delivery - Dubai Offers</v>
          </cell>
          <cell r="H464" t="str">
            <v>a0CTi00005KB4LaMAL</v>
          </cell>
          <cell r="I464" t="str">
            <v>L26DBDLYA</v>
          </cell>
          <cell r="J464" t="str">
            <v>Active</v>
          </cell>
          <cell r="K464">
            <v>45930</v>
          </cell>
          <cell r="L464" t="str">
            <v>Dubai</v>
          </cell>
        </row>
        <row r="465">
          <cell r="A465" t="str">
            <v>X23946818</v>
          </cell>
          <cell r="C465" t="str">
            <v>ACAI Luv</v>
          </cell>
          <cell r="D465" t="str">
            <v>% Off</v>
          </cell>
          <cell r="E465">
            <v>46023</v>
          </cell>
          <cell r="F465" t="str">
            <v>31/12/2026</v>
          </cell>
          <cell r="G465" t="str">
            <v>2026 YaHala Delivery - Dubai Offers</v>
          </cell>
          <cell r="H465" t="str">
            <v>a0CTi00005KB4LaMAL</v>
          </cell>
          <cell r="I465" t="str">
            <v>L26DBDLYA</v>
          </cell>
          <cell r="J465" t="str">
            <v>Active</v>
          </cell>
          <cell r="K465">
            <v>45930</v>
          </cell>
          <cell r="L465" t="str">
            <v>Dubai</v>
          </cell>
        </row>
        <row r="466">
          <cell r="A466" t="str">
            <v>X23925295</v>
          </cell>
          <cell r="C466" t="str">
            <v>Burger 52</v>
          </cell>
          <cell r="D466" t="str">
            <v>% Off</v>
          </cell>
          <cell r="E466">
            <v>46023</v>
          </cell>
          <cell r="F466" t="str">
            <v>31/12/2026</v>
          </cell>
          <cell r="G466" t="str">
            <v>2026 YaHala Delivery - Dubai Offers</v>
          </cell>
          <cell r="H466" t="str">
            <v>a0CTi00005KB4LaMAL</v>
          </cell>
          <cell r="I466" t="str">
            <v>L26DBDLYA</v>
          </cell>
          <cell r="J466" t="str">
            <v>Active</v>
          </cell>
          <cell r="K466">
            <v>45930</v>
          </cell>
          <cell r="L466" t="str">
            <v>Dubai</v>
          </cell>
        </row>
        <row r="467">
          <cell r="A467" t="str">
            <v>X23946820</v>
          </cell>
          <cell r="C467" t="str">
            <v>Soup Cup</v>
          </cell>
          <cell r="D467" t="str">
            <v>% Off</v>
          </cell>
          <cell r="E467">
            <v>46023</v>
          </cell>
          <cell r="F467" t="str">
            <v>31/12/2026</v>
          </cell>
          <cell r="G467" t="str">
            <v>2026 YaHala Delivery - Dubai Offers</v>
          </cell>
          <cell r="H467" t="str">
            <v>a0CTi00005KB4LaMAL</v>
          </cell>
          <cell r="I467" t="str">
            <v>L26DBDLYA</v>
          </cell>
          <cell r="J467" t="str">
            <v>Active</v>
          </cell>
          <cell r="K467">
            <v>45930</v>
          </cell>
          <cell r="L467" t="str">
            <v>Dubai</v>
          </cell>
        </row>
        <row r="468">
          <cell r="A468" t="str">
            <v>X23946828</v>
          </cell>
          <cell r="C468" t="str">
            <v>Fried Chicken Hero</v>
          </cell>
          <cell r="D468" t="str">
            <v>% Off</v>
          </cell>
          <cell r="E468">
            <v>46023</v>
          </cell>
          <cell r="F468" t="str">
            <v>31/12/2026</v>
          </cell>
          <cell r="G468" t="str">
            <v>2026 YaHala Delivery - Dubai Offers</v>
          </cell>
          <cell r="H468" t="str">
            <v>a0CTi00005KB4LaMAL</v>
          </cell>
          <cell r="I468" t="str">
            <v>L26DBDLYA</v>
          </cell>
          <cell r="J468" t="str">
            <v>Active</v>
          </cell>
          <cell r="K468">
            <v>45930</v>
          </cell>
          <cell r="L468" t="str">
            <v>Dubai</v>
          </cell>
        </row>
        <row r="469">
          <cell r="A469" t="str">
            <v>X23946833</v>
          </cell>
          <cell r="C469" t="str">
            <v>Bagel Luv</v>
          </cell>
          <cell r="D469" t="str">
            <v>% Off</v>
          </cell>
          <cell r="E469">
            <v>46023</v>
          </cell>
          <cell r="F469" t="str">
            <v>31/12/2026</v>
          </cell>
          <cell r="G469" t="str">
            <v>2026 YaHala Delivery - Dubai Offers</v>
          </cell>
          <cell r="H469" t="str">
            <v>a0CTi00005KB4LaMAL</v>
          </cell>
          <cell r="I469" t="str">
            <v>L26DBDLYA</v>
          </cell>
          <cell r="J469" t="str">
            <v>Active</v>
          </cell>
          <cell r="K469">
            <v>45930</v>
          </cell>
          <cell r="L469" t="str">
            <v>Dubai</v>
          </cell>
        </row>
        <row r="470">
          <cell r="A470" t="str">
            <v>X23925286</v>
          </cell>
          <cell r="C470" t="str">
            <v>OBG Burger</v>
          </cell>
          <cell r="D470" t="str">
            <v>% Off</v>
          </cell>
          <cell r="E470">
            <v>46023</v>
          </cell>
          <cell r="F470" t="str">
            <v>31/12/2026</v>
          </cell>
          <cell r="G470" t="str">
            <v>2026 YaHala Delivery - Dubai Offers</v>
          </cell>
          <cell r="H470" t="str">
            <v>a0CTi00005KB4LaMAL</v>
          </cell>
          <cell r="I470" t="str">
            <v>L26DBDLYA</v>
          </cell>
          <cell r="J470" t="str">
            <v>Active</v>
          </cell>
          <cell r="K470">
            <v>45930</v>
          </cell>
          <cell r="L470" t="str">
            <v>Dubai</v>
          </cell>
        </row>
        <row r="471">
          <cell r="A471" t="str">
            <v>X23946829</v>
          </cell>
          <cell r="C471" t="str">
            <v>FOMO Burger</v>
          </cell>
          <cell r="D471" t="str">
            <v>% Off</v>
          </cell>
          <cell r="E471">
            <v>46023</v>
          </cell>
          <cell r="F471" t="str">
            <v>31/12/2026</v>
          </cell>
          <cell r="G471" t="str">
            <v>2026 YaHala Delivery - Dubai Offers</v>
          </cell>
          <cell r="H471" t="str">
            <v>a0CTi00005KB4LaMAL</v>
          </cell>
          <cell r="I471" t="str">
            <v>L26DBDLYA</v>
          </cell>
          <cell r="J471" t="str">
            <v>Active</v>
          </cell>
          <cell r="K471">
            <v>45930</v>
          </cell>
          <cell r="L471" t="str">
            <v>Dubai</v>
          </cell>
        </row>
        <row r="472">
          <cell r="A472" t="str">
            <v>X21936586</v>
          </cell>
          <cell r="C472" t="str">
            <v>Man'oushe Street</v>
          </cell>
          <cell r="D472" t="str">
            <v>% Off</v>
          </cell>
          <cell r="E472">
            <v>46023</v>
          </cell>
          <cell r="F472" t="str">
            <v>31/12/2026</v>
          </cell>
          <cell r="G472" t="str">
            <v>2026 YaHala Delivery - Dubai Offers</v>
          </cell>
          <cell r="H472" t="str">
            <v>a0CTi00005KB4LaMAL</v>
          </cell>
          <cell r="I472" t="str">
            <v>L26DBDLYA</v>
          </cell>
          <cell r="J472" t="str">
            <v>Active</v>
          </cell>
          <cell r="K472">
            <v>45930</v>
          </cell>
          <cell r="L472" t="str">
            <v>Dubai</v>
          </cell>
        </row>
        <row r="473">
          <cell r="A473" t="str">
            <v>X23914843</v>
          </cell>
          <cell r="C473" t="str">
            <v>El Bakery</v>
          </cell>
          <cell r="D473" t="str">
            <v>% Off</v>
          </cell>
          <cell r="E473">
            <v>46023</v>
          </cell>
          <cell r="F473" t="str">
            <v>31/12/2026</v>
          </cell>
          <cell r="G473" t="str">
            <v>2026 YaHala Delivery - Dubai Offers</v>
          </cell>
          <cell r="H473" t="str">
            <v>a0CTi00005KB4LaMAL</v>
          </cell>
          <cell r="I473" t="str">
            <v>L26DBDLYA</v>
          </cell>
          <cell r="J473" t="str">
            <v>Active</v>
          </cell>
          <cell r="K473">
            <v>45930</v>
          </cell>
          <cell r="L473" t="str">
            <v>Dubai</v>
          </cell>
        </row>
        <row r="474">
          <cell r="A474" t="str">
            <v>X23925293</v>
          </cell>
          <cell r="C474" t="str">
            <v>Koussa Blaban</v>
          </cell>
          <cell r="D474" t="str">
            <v>% Off</v>
          </cell>
          <cell r="E474">
            <v>46023</v>
          </cell>
          <cell r="F474" t="str">
            <v>31/12/2026</v>
          </cell>
          <cell r="G474" t="str">
            <v>2026 YaHala Delivery - Dubai Offers</v>
          </cell>
          <cell r="H474" t="str">
            <v>a0CTi00005KB4LaMAL</v>
          </cell>
          <cell r="I474" t="str">
            <v>L26DBDLYA</v>
          </cell>
          <cell r="J474" t="str">
            <v>Active</v>
          </cell>
          <cell r="K474">
            <v>45930</v>
          </cell>
          <cell r="L474" t="str">
            <v>Dubai</v>
          </cell>
        </row>
        <row r="475">
          <cell r="A475" t="str">
            <v>X23914846</v>
          </cell>
          <cell r="C475" t="str">
            <v>Imm Talal</v>
          </cell>
          <cell r="D475" t="str">
            <v>% Off</v>
          </cell>
          <cell r="E475">
            <v>46023</v>
          </cell>
          <cell r="F475" t="str">
            <v>31/12/2026</v>
          </cell>
          <cell r="G475" t="str">
            <v>2026 YaHala Delivery - Dubai Offers</v>
          </cell>
          <cell r="H475" t="str">
            <v>a0CTi00005KB4LaMAL</v>
          </cell>
          <cell r="I475" t="str">
            <v>L26DBDLYA</v>
          </cell>
          <cell r="J475" t="str">
            <v>Active</v>
          </cell>
          <cell r="K475">
            <v>45930</v>
          </cell>
          <cell r="L475" t="str">
            <v>Dubai</v>
          </cell>
        </row>
        <row r="476">
          <cell r="A476" t="str">
            <v>X23946815</v>
          </cell>
          <cell r="C476" t="str">
            <v>Pastaria</v>
          </cell>
          <cell r="D476" t="str">
            <v>% Off</v>
          </cell>
          <cell r="E476">
            <v>46023</v>
          </cell>
          <cell r="F476" t="str">
            <v>31/12/2026</v>
          </cell>
          <cell r="G476" t="str">
            <v>2026 YaHala Delivery - Dubai Offers</v>
          </cell>
          <cell r="H476" t="str">
            <v>a0CTi00005KB4LaMAL</v>
          </cell>
          <cell r="I476" t="str">
            <v>L26DBDLYA</v>
          </cell>
          <cell r="J476" t="str">
            <v>Active</v>
          </cell>
          <cell r="K476">
            <v>45930</v>
          </cell>
          <cell r="L476" t="str">
            <v>Dubai</v>
          </cell>
        </row>
        <row r="477">
          <cell r="A477" t="str">
            <v>X23914838</v>
          </cell>
          <cell r="C477" t="str">
            <v>Pizza Luv</v>
          </cell>
          <cell r="D477" t="str">
            <v>% Off</v>
          </cell>
          <cell r="E477">
            <v>46023</v>
          </cell>
          <cell r="F477" t="str">
            <v>31/12/2026</v>
          </cell>
          <cell r="G477" t="str">
            <v>2026 YaHala Delivery - Dubai Offers</v>
          </cell>
          <cell r="H477" t="str">
            <v>a0CTi00005KB4LaMAL</v>
          </cell>
          <cell r="I477" t="str">
            <v>L26DBDLYA</v>
          </cell>
          <cell r="J477" t="str">
            <v>Active</v>
          </cell>
          <cell r="K477">
            <v>45930</v>
          </cell>
          <cell r="L477" t="str">
            <v>Dubai</v>
          </cell>
        </row>
        <row r="478">
          <cell r="A478" t="str">
            <v>X23925284</v>
          </cell>
          <cell r="C478" t="str">
            <v>Naughty Bird</v>
          </cell>
          <cell r="D478" t="str">
            <v>% Off</v>
          </cell>
          <cell r="E478">
            <v>46023</v>
          </cell>
          <cell r="F478" t="str">
            <v>31/12/2026</v>
          </cell>
          <cell r="G478" t="str">
            <v>2026 YaHala Delivery - Dubai Offers</v>
          </cell>
          <cell r="H478" t="str">
            <v>a0CTi00005KB4LaMAL</v>
          </cell>
          <cell r="I478" t="str">
            <v>L26DBDLYA</v>
          </cell>
          <cell r="J478" t="str">
            <v>Active</v>
          </cell>
          <cell r="K478">
            <v>45930</v>
          </cell>
          <cell r="L478" t="str">
            <v>Dubai</v>
          </cell>
        </row>
        <row r="479">
          <cell r="A479" t="str">
            <v>X23946811</v>
          </cell>
          <cell r="C479" t="str">
            <v>Sofret Beirut</v>
          </cell>
          <cell r="D479" t="str">
            <v>% Off</v>
          </cell>
          <cell r="E479">
            <v>46023</v>
          </cell>
          <cell r="F479" t="str">
            <v>31/12/2026</v>
          </cell>
          <cell r="G479" t="str">
            <v>2026 YaHala Delivery - Dubai Offers</v>
          </cell>
          <cell r="H479" t="str">
            <v>a0CTi00005KB4LaMAL</v>
          </cell>
          <cell r="I479" t="str">
            <v>L26DBDLYA</v>
          </cell>
          <cell r="J479" t="str">
            <v>Active</v>
          </cell>
          <cell r="K479">
            <v>45930</v>
          </cell>
          <cell r="L479" t="str">
            <v>Dubai</v>
          </cell>
        </row>
        <row r="480">
          <cell r="A480" t="str">
            <v>X23946810</v>
          </cell>
          <cell r="C480" t="str">
            <v>Fern El Raihan</v>
          </cell>
          <cell r="D480" t="str">
            <v>% Off</v>
          </cell>
          <cell r="E480">
            <v>46023</v>
          </cell>
          <cell r="F480" t="str">
            <v>31/12/2026</v>
          </cell>
          <cell r="G480" t="str">
            <v>2026 YaHala Delivery - Dubai Offers</v>
          </cell>
          <cell r="H480" t="str">
            <v>a0CTi00005KB4LaMAL</v>
          </cell>
          <cell r="I480" t="str">
            <v>L26DBDLYA</v>
          </cell>
          <cell r="J480" t="str">
            <v>Active</v>
          </cell>
          <cell r="K480">
            <v>45930</v>
          </cell>
          <cell r="L480" t="str">
            <v>Dubai</v>
          </cell>
        </row>
        <row r="481">
          <cell r="A481" t="str">
            <v>X23925288</v>
          </cell>
          <cell r="C481" t="str">
            <v>Society Pizza</v>
          </cell>
          <cell r="D481" t="str">
            <v>% Off</v>
          </cell>
          <cell r="E481">
            <v>46023</v>
          </cell>
          <cell r="F481" t="str">
            <v>31/12/2026</v>
          </cell>
          <cell r="G481" t="str">
            <v>2026 YaHala Delivery - Dubai Offers</v>
          </cell>
          <cell r="H481" t="str">
            <v>a0CTi00005KB4LaMAL</v>
          </cell>
          <cell r="I481" t="str">
            <v>L26DBDLYA</v>
          </cell>
          <cell r="J481" t="str">
            <v>Active</v>
          </cell>
          <cell r="K481">
            <v>45930</v>
          </cell>
          <cell r="L481" t="str">
            <v>Dubai</v>
          </cell>
        </row>
        <row r="482">
          <cell r="A482" t="str">
            <v>X23898688</v>
          </cell>
          <cell r="C482" t="str">
            <v>Hummus Brothers</v>
          </cell>
          <cell r="D482" t="str">
            <v>% Off</v>
          </cell>
          <cell r="E482">
            <v>46023</v>
          </cell>
          <cell r="F482" t="str">
            <v>31/12/2026</v>
          </cell>
          <cell r="G482" t="str">
            <v>2026 YaHala Delivery - Dubai Offers</v>
          </cell>
          <cell r="H482" t="str">
            <v>a0CTi00005KB4LaMAL</v>
          </cell>
          <cell r="I482" t="str">
            <v>L26DBDLYA</v>
          </cell>
          <cell r="J482" t="str">
            <v>Active</v>
          </cell>
          <cell r="K482">
            <v>45930</v>
          </cell>
          <cell r="L482" t="str">
            <v>Dubai</v>
          </cell>
        </row>
        <row r="483">
          <cell r="A483" t="str">
            <v>X23914837</v>
          </cell>
          <cell r="C483" t="str">
            <v>Susuru - Japanese Street Food</v>
          </cell>
          <cell r="D483" t="str">
            <v>% Off</v>
          </cell>
          <cell r="E483">
            <v>46023</v>
          </cell>
          <cell r="F483" t="str">
            <v>31/12/2026</v>
          </cell>
          <cell r="G483" t="str">
            <v>2026 YaHala Delivery - Dubai Offers</v>
          </cell>
          <cell r="H483" t="str">
            <v>a0CTi00005KB4LaMAL</v>
          </cell>
          <cell r="I483" t="str">
            <v>L26DBDLYA</v>
          </cell>
          <cell r="J483" t="str">
            <v>Active</v>
          </cell>
          <cell r="K483">
            <v>45930</v>
          </cell>
          <cell r="L483" t="str">
            <v>Dubai</v>
          </cell>
        </row>
        <row r="484">
          <cell r="A484" t="str">
            <v>X23946813</v>
          </cell>
          <cell r="C484" t="str">
            <v>The Pasta Cup</v>
          </cell>
          <cell r="D484" t="str">
            <v>% Off</v>
          </cell>
          <cell r="E484">
            <v>46023</v>
          </cell>
          <cell r="F484" t="str">
            <v>31/12/2026</v>
          </cell>
          <cell r="G484" t="str">
            <v>2026 YaHala Delivery - Dubai Offers</v>
          </cell>
          <cell r="H484" t="str">
            <v>a0CTi00005KB4LaMAL</v>
          </cell>
          <cell r="I484" t="str">
            <v>L26DBDLYA</v>
          </cell>
          <cell r="J484" t="str">
            <v>Active</v>
          </cell>
          <cell r="K484">
            <v>45930</v>
          </cell>
          <cell r="L484" t="str">
            <v>Dubai</v>
          </cell>
        </row>
        <row r="485">
          <cell r="A485" t="str">
            <v>X23894992</v>
          </cell>
          <cell r="C485" t="str">
            <v>The Good Bowl</v>
          </cell>
          <cell r="D485" t="str">
            <v>% Off</v>
          </cell>
          <cell r="E485">
            <v>46023</v>
          </cell>
          <cell r="F485" t="str">
            <v>31/12/2026</v>
          </cell>
          <cell r="G485" t="str">
            <v>2026 YaHala Delivery - Dubai Offers</v>
          </cell>
          <cell r="H485" t="str">
            <v>a0CTi00005KB4LaMAL</v>
          </cell>
          <cell r="I485" t="str">
            <v>L26DBDLYA</v>
          </cell>
          <cell r="J485" t="str">
            <v>Active</v>
          </cell>
          <cell r="K485">
            <v>45930</v>
          </cell>
          <cell r="L485" t="str">
            <v>Dubai</v>
          </cell>
        </row>
        <row r="486">
          <cell r="A486" t="str">
            <v>X23914842</v>
          </cell>
          <cell r="C486" t="str">
            <v>The Palestinian Bakery</v>
          </cell>
          <cell r="D486" t="str">
            <v>% Off</v>
          </cell>
          <cell r="E486">
            <v>46023</v>
          </cell>
          <cell r="F486" t="str">
            <v>31/12/2026</v>
          </cell>
          <cell r="G486" t="str">
            <v>2026 YaHala Delivery - Dubai Offers</v>
          </cell>
          <cell r="H486" t="str">
            <v>a0CTi00005KB4LaMAL</v>
          </cell>
          <cell r="I486" t="str">
            <v>L26DBDLYA</v>
          </cell>
          <cell r="J486" t="str">
            <v>Active</v>
          </cell>
          <cell r="K486">
            <v>45930</v>
          </cell>
          <cell r="L486" t="str">
            <v>Dubai</v>
          </cell>
        </row>
        <row r="487">
          <cell r="A487" t="str">
            <v>X23946812</v>
          </cell>
          <cell r="C487" t="str">
            <v>Wok &amp;</v>
          </cell>
          <cell r="D487" t="str">
            <v>% Off</v>
          </cell>
          <cell r="E487">
            <v>46023</v>
          </cell>
          <cell r="F487" t="str">
            <v>31/12/2026</v>
          </cell>
          <cell r="G487" t="str">
            <v>2026 YaHala Delivery - Dubai Offers</v>
          </cell>
          <cell r="H487" t="str">
            <v>a0CTi00005KB4LaMAL</v>
          </cell>
          <cell r="I487" t="str">
            <v>L26DBDLYA</v>
          </cell>
          <cell r="J487" t="str">
            <v>Active</v>
          </cell>
          <cell r="K487">
            <v>45930</v>
          </cell>
          <cell r="L487" t="str">
            <v>Dubai</v>
          </cell>
        </row>
        <row r="488">
          <cell r="A488" t="str">
            <v>X23946834</v>
          </cell>
          <cell r="C488" t="str">
            <v>What The Crepe</v>
          </cell>
          <cell r="D488" t="str">
            <v>% Off</v>
          </cell>
          <cell r="E488">
            <v>46023</v>
          </cell>
          <cell r="F488" t="str">
            <v>31/12/2026</v>
          </cell>
          <cell r="G488" t="str">
            <v>2026 YaHala Delivery - Dubai Offers</v>
          </cell>
          <cell r="H488" t="str">
            <v>a0CTi00005KB4LaMAL</v>
          </cell>
          <cell r="I488" t="str">
            <v>L26DBDLYA</v>
          </cell>
          <cell r="J488" t="str">
            <v>Active</v>
          </cell>
          <cell r="K488">
            <v>45930</v>
          </cell>
          <cell r="L488" t="str">
            <v>Dubai</v>
          </cell>
        </row>
        <row r="489">
          <cell r="A489" t="str">
            <v>X23894994</v>
          </cell>
          <cell r="C489" t="str">
            <v>Wrapped</v>
          </cell>
          <cell r="D489" t="str">
            <v>% Off</v>
          </cell>
          <cell r="E489">
            <v>46023</v>
          </cell>
          <cell r="F489" t="str">
            <v>31/12/2026</v>
          </cell>
          <cell r="G489" t="str">
            <v>2026 YaHala Delivery - Dubai Offers</v>
          </cell>
          <cell r="H489" t="str">
            <v>a0CTi00005KB4LaMAL</v>
          </cell>
          <cell r="I489" t="str">
            <v>L26DBDLYA</v>
          </cell>
          <cell r="J489" t="str">
            <v>Active</v>
          </cell>
          <cell r="K489">
            <v>45930</v>
          </cell>
          <cell r="L489" t="str">
            <v>Dubai</v>
          </cell>
        </row>
        <row r="490">
          <cell r="A490" t="str">
            <v>X23925290</v>
          </cell>
          <cell r="C490" t="str">
            <v>Society Sandwich</v>
          </cell>
          <cell r="D490" t="str">
            <v>% Off</v>
          </cell>
          <cell r="E490">
            <v>46023</v>
          </cell>
          <cell r="F490" t="str">
            <v>31/12/2026</v>
          </cell>
          <cell r="G490" t="str">
            <v>2026 YaHala Delivery - Dubai Offers</v>
          </cell>
          <cell r="H490" t="str">
            <v>a0CTi00005KB4LaMAL</v>
          </cell>
          <cell r="I490" t="str">
            <v>L26DBDLYA</v>
          </cell>
          <cell r="J490" t="str">
            <v>Active</v>
          </cell>
          <cell r="K490">
            <v>45931</v>
          </cell>
          <cell r="L490" t="str">
            <v>Dubai</v>
          </cell>
        </row>
        <row r="491">
          <cell r="A491" t="str">
            <v>X23874697</v>
          </cell>
          <cell r="C491" t="str">
            <v>Sugar Moo Desserts LLC</v>
          </cell>
          <cell r="D491" t="str">
            <v>% Off</v>
          </cell>
          <cell r="E491">
            <v>46023</v>
          </cell>
          <cell r="F491" t="str">
            <v>31/12/2026</v>
          </cell>
          <cell r="G491" t="str">
            <v>2026 YaHala Delivery - Dubai Offers</v>
          </cell>
          <cell r="H491" t="str">
            <v>a0CTi00005KB4LaMAL</v>
          </cell>
          <cell r="I491" t="str">
            <v>L26DBDLYA</v>
          </cell>
          <cell r="J491" t="str">
            <v>Active</v>
          </cell>
          <cell r="K491">
            <v>45933</v>
          </cell>
          <cell r="L491" t="str">
            <v>Dubai</v>
          </cell>
        </row>
        <row r="492">
          <cell r="A492" t="str">
            <v>X037576</v>
          </cell>
          <cell r="C492" t="str">
            <v>Bloomsbury's Boutique Cafe &amp; Artisan Bakery</v>
          </cell>
          <cell r="D492" t="str">
            <v>% Off</v>
          </cell>
          <cell r="E492">
            <v>46023</v>
          </cell>
          <cell r="F492" t="str">
            <v>31/12/2026</v>
          </cell>
          <cell r="G492" t="str">
            <v>2026 YaHala Delivery - Dubai Offers</v>
          </cell>
          <cell r="H492" t="str">
            <v>a0CTi00005KB4LaMAL</v>
          </cell>
          <cell r="I492" t="str">
            <v>L26DBDLYA</v>
          </cell>
          <cell r="J492" t="str">
            <v>Active</v>
          </cell>
          <cell r="K492">
            <v>45938</v>
          </cell>
          <cell r="L492" t="str">
            <v>Dubai</v>
          </cell>
        </row>
        <row r="493">
          <cell r="A493" t="str">
            <v>X23873962</v>
          </cell>
          <cell r="C493" t="str">
            <v>Famous Dave's - Dubai</v>
          </cell>
          <cell r="D493" t="str">
            <v>% Off</v>
          </cell>
          <cell r="E493">
            <v>46023</v>
          </cell>
          <cell r="F493" t="str">
            <v>31/12/2026</v>
          </cell>
          <cell r="G493" t="str">
            <v>2026 YaHala Delivery - Dubai Offers</v>
          </cell>
          <cell r="H493" t="str">
            <v>a0CTi00005KB4LaMAL</v>
          </cell>
          <cell r="I493" t="str">
            <v>L26DBDLYA</v>
          </cell>
          <cell r="J493" t="str">
            <v>Active</v>
          </cell>
          <cell r="K493">
            <v>45939</v>
          </cell>
          <cell r="L493" t="str">
            <v>Dubai</v>
          </cell>
        </row>
        <row r="494">
          <cell r="A494" t="str">
            <v>X23956214</v>
          </cell>
          <cell r="C494" t="str">
            <v>Grimaldi's Pizzeria - Dubai</v>
          </cell>
          <cell r="D494" t="str">
            <v>% Off</v>
          </cell>
          <cell r="E494">
            <v>46023</v>
          </cell>
          <cell r="F494" t="str">
            <v>31/12/2026</v>
          </cell>
          <cell r="G494" t="str">
            <v>2026 YaHala Delivery - Dubai Offers</v>
          </cell>
          <cell r="H494" t="str">
            <v>a0CTi00005KB4LaMAL</v>
          </cell>
          <cell r="I494" t="str">
            <v>L26DBDLYA</v>
          </cell>
          <cell r="J494" t="str">
            <v>Active</v>
          </cell>
          <cell r="K494">
            <v>45940</v>
          </cell>
          <cell r="L494" t="str">
            <v>Dubai</v>
          </cell>
        </row>
        <row r="495">
          <cell r="A495" t="str">
            <v>X22160339</v>
          </cell>
          <cell r="C495" t="str">
            <v>Farsi Restaurant</v>
          </cell>
          <cell r="D495" t="str">
            <v>% Off</v>
          </cell>
          <cell r="E495">
            <v>46023</v>
          </cell>
          <cell r="F495" t="str">
            <v>31/12/2026</v>
          </cell>
          <cell r="G495" t="str">
            <v>2026 YaHala Delivery - Dubai Offers</v>
          </cell>
          <cell r="H495" t="str">
            <v>a0CTi00005KB4LaMAL</v>
          </cell>
          <cell r="I495" t="str">
            <v>L26DBDLYA</v>
          </cell>
          <cell r="J495" t="str">
            <v>Active</v>
          </cell>
          <cell r="K495">
            <v>45950</v>
          </cell>
          <cell r="L495" t="str">
            <v>Dubai</v>
          </cell>
        </row>
        <row r="496">
          <cell r="A496" t="str">
            <v>X22270290</v>
          </cell>
          <cell r="C496" t="str">
            <v>Ting Irie</v>
          </cell>
          <cell r="D496" t="str">
            <v>% Off</v>
          </cell>
          <cell r="E496">
            <v>46023</v>
          </cell>
          <cell r="F496" t="str">
            <v>31/12/2026</v>
          </cell>
          <cell r="G496" t="str">
            <v>2026 YaHala Delivery - Dubai Offers</v>
          </cell>
          <cell r="H496" t="str">
            <v>a0CTi00005KB4LaMAL</v>
          </cell>
          <cell r="I496" t="str">
            <v>L26DBDLYA</v>
          </cell>
          <cell r="J496" t="str">
            <v>Active</v>
          </cell>
          <cell r="K496">
            <v>45950</v>
          </cell>
          <cell r="L496" t="str">
            <v>Dubai</v>
          </cell>
        </row>
        <row r="497">
          <cell r="A497" t="str">
            <v>X23874687</v>
          </cell>
          <cell r="C497" t="str">
            <v>Asia Kitchen by Mainland China</v>
          </cell>
          <cell r="D497" t="str">
            <v>% Off</v>
          </cell>
          <cell r="E497">
            <v>46023</v>
          </cell>
          <cell r="F497" t="str">
            <v>31/12/2026</v>
          </cell>
          <cell r="G497" t="str">
            <v>2026 YaHala Delivery - Dubai Offers</v>
          </cell>
          <cell r="H497" t="str">
            <v>a0CTi00005KB4LaMAL</v>
          </cell>
          <cell r="I497" t="str">
            <v>L26DBDLYA</v>
          </cell>
          <cell r="J497" t="str">
            <v>Active</v>
          </cell>
          <cell r="K497">
            <v>45950</v>
          </cell>
          <cell r="L497" t="str">
            <v>Dubai</v>
          </cell>
        </row>
        <row r="498">
          <cell r="A498" t="str">
            <v>X23894080</v>
          </cell>
          <cell r="C498" t="str">
            <v>Soulgreen Restaurant</v>
          </cell>
          <cell r="D498" t="str">
            <v>% Off</v>
          </cell>
          <cell r="E498">
            <v>46023</v>
          </cell>
          <cell r="F498" t="str">
            <v>31/12/2026</v>
          </cell>
          <cell r="G498" t="str">
            <v>2026 YaHala Delivery - Dubai Offers</v>
          </cell>
          <cell r="H498" t="str">
            <v>a0CTi00005KB4LaMAL</v>
          </cell>
          <cell r="I498" t="str">
            <v>L26DBDLYA</v>
          </cell>
          <cell r="J498" t="str">
            <v>Active</v>
          </cell>
          <cell r="K498">
            <v>45951</v>
          </cell>
          <cell r="L498" t="str">
            <v>Dubai</v>
          </cell>
        </row>
        <row r="499">
          <cell r="A499" t="str">
            <v>X23894951</v>
          </cell>
          <cell r="C499" t="str">
            <v>Amici Miei</v>
          </cell>
          <cell r="D499" t="str">
            <v>% Off</v>
          </cell>
          <cell r="E499">
            <v>46023</v>
          </cell>
          <cell r="F499" t="str">
            <v>31/12/2026</v>
          </cell>
          <cell r="G499" t="str">
            <v>2026 YaHala Delivery - Dubai Offers</v>
          </cell>
          <cell r="H499" t="str">
            <v>a0CTi00005KB4LaMAL</v>
          </cell>
          <cell r="I499" t="str">
            <v>L26DBDLYA</v>
          </cell>
          <cell r="J499" t="str">
            <v>Active</v>
          </cell>
          <cell r="K499">
            <v>45954</v>
          </cell>
          <cell r="L499" t="str">
            <v>Dubai</v>
          </cell>
        </row>
        <row r="500">
          <cell r="A500" t="str">
            <v>X23894677</v>
          </cell>
          <cell r="C500" t="str">
            <v>Deli Sushi Restaurant</v>
          </cell>
          <cell r="D500" t="str">
            <v>% Off</v>
          </cell>
          <cell r="E500">
            <v>46023</v>
          </cell>
          <cell r="F500" t="str">
            <v>31/12/2026</v>
          </cell>
          <cell r="G500" t="str">
            <v>2026 YaHala Delivery - Dubai Offers</v>
          </cell>
          <cell r="H500" t="str">
            <v>a0CTi00005KB4LaMAL</v>
          </cell>
          <cell r="I500" t="str">
            <v>L26DBDLYA</v>
          </cell>
          <cell r="J500" t="str">
            <v>Active</v>
          </cell>
          <cell r="K500">
            <v>45956</v>
          </cell>
          <cell r="L500" t="str">
            <v>Dubai</v>
          </cell>
        </row>
        <row r="501">
          <cell r="A501" t="str">
            <v>X23869572</v>
          </cell>
          <cell r="C501" t="str">
            <v>Socialicious</v>
          </cell>
          <cell r="D501" t="str">
            <v>% Off</v>
          </cell>
          <cell r="E501">
            <v>46023</v>
          </cell>
          <cell r="F501" t="str">
            <v>31/12/2026</v>
          </cell>
          <cell r="G501" t="str">
            <v>2026 YaHala Delivery - Dubai Offers</v>
          </cell>
          <cell r="H501" t="str">
            <v>a0CTi00005KB4LaMAL</v>
          </cell>
          <cell r="I501" t="str">
            <v>L26DBDLYA</v>
          </cell>
          <cell r="J501" t="str">
            <v>Active</v>
          </cell>
          <cell r="K501">
            <v>45963</v>
          </cell>
          <cell r="L501" t="str">
            <v>Dubai</v>
          </cell>
        </row>
        <row r="502">
          <cell r="A502" t="str">
            <v>X23877318</v>
          </cell>
          <cell r="C502" t="str">
            <v>The Pizza Pie Factory</v>
          </cell>
          <cell r="D502" t="str">
            <v>% Off</v>
          </cell>
          <cell r="E502">
            <v>46023</v>
          </cell>
          <cell r="F502" t="str">
            <v>31/12/2026</v>
          </cell>
          <cell r="G502" t="str">
            <v>2026 YaHala Delivery - Dubai Offers</v>
          </cell>
          <cell r="H502" t="str">
            <v>a0CTi00005KB4LaMAL</v>
          </cell>
          <cell r="I502" t="str">
            <v>L26DBDLYA</v>
          </cell>
          <cell r="J502" t="str">
            <v>Active</v>
          </cell>
          <cell r="K502">
            <v>45967</v>
          </cell>
          <cell r="L502" t="str">
            <v>Dubai</v>
          </cell>
        </row>
        <row r="503">
          <cell r="A503" t="str">
            <v>X23857887</v>
          </cell>
          <cell r="C503" t="str">
            <v>Memsaab Curry &amp; Tandoor Restaurant</v>
          </cell>
          <cell r="D503" t="str">
            <v>% Off</v>
          </cell>
          <cell r="E503">
            <v>46023</v>
          </cell>
          <cell r="F503" t="str">
            <v>31/12/2026</v>
          </cell>
          <cell r="G503" t="str">
            <v>2026 YaHala Delivery - Dubai Offers</v>
          </cell>
          <cell r="H503" t="str">
            <v>a0CTi00005KB4LaMAL</v>
          </cell>
          <cell r="I503" t="str">
            <v>L26DBDLYA</v>
          </cell>
          <cell r="J503" t="str">
            <v>Active</v>
          </cell>
          <cell r="K503">
            <v>45968</v>
          </cell>
          <cell r="L503" t="str">
            <v>Dubai</v>
          </cell>
        </row>
        <row r="504">
          <cell r="A504" t="str">
            <v>X23947157</v>
          </cell>
          <cell r="C504" t="str">
            <v>Kronfaly</v>
          </cell>
          <cell r="D504" t="str">
            <v>% Off</v>
          </cell>
          <cell r="E504">
            <v>46023</v>
          </cell>
          <cell r="F504" t="str">
            <v>31/12/2026</v>
          </cell>
          <cell r="G504" t="str">
            <v>2026 YaHala Delivery - Dubai Offers</v>
          </cell>
          <cell r="H504" t="str">
            <v>a0CTi00005KB4LaMAL</v>
          </cell>
          <cell r="I504" t="str">
            <v>L26DBDLYA</v>
          </cell>
          <cell r="J504" t="str">
            <v>Active</v>
          </cell>
          <cell r="K504">
            <v>45968</v>
          </cell>
          <cell r="L504" t="str">
            <v>Dubai</v>
          </cell>
        </row>
        <row r="505">
          <cell r="A505" t="str">
            <v>X21112391</v>
          </cell>
          <cell r="C505" t="str">
            <v>Papa Murphy's</v>
          </cell>
          <cell r="D505" t="str">
            <v>% Off</v>
          </cell>
          <cell r="E505">
            <v>46023</v>
          </cell>
          <cell r="F505" t="str">
            <v>31/12/2026</v>
          </cell>
          <cell r="G505" t="str">
            <v>2026 YaHala Delivery - Dubai Offers</v>
          </cell>
          <cell r="H505" t="str">
            <v>a0CTi00005KB4LaMAL</v>
          </cell>
          <cell r="I505" t="str">
            <v>L26DBDLYA</v>
          </cell>
          <cell r="J505" t="str">
            <v>Active</v>
          </cell>
          <cell r="K505">
            <v>45972</v>
          </cell>
          <cell r="L505" t="str">
            <v>Dubai</v>
          </cell>
        </row>
        <row r="506">
          <cell r="A506" t="str">
            <v>X21736011</v>
          </cell>
          <cell r="C506" t="str">
            <v>Smart Brat - German Bratwurst Grill</v>
          </cell>
          <cell r="D506" t="str">
            <v>% Off</v>
          </cell>
          <cell r="E506">
            <v>46023</v>
          </cell>
          <cell r="F506" t="str">
            <v>31/12/2026</v>
          </cell>
          <cell r="G506" t="str">
            <v>2026 YaHala Delivery - Dubai Offers</v>
          </cell>
          <cell r="H506" t="str">
            <v>a0CTi00005KB4LaMAL</v>
          </cell>
          <cell r="I506" t="str">
            <v>L26DBDLYA</v>
          </cell>
          <cell r="J506" t="str">
            <v>Active</v>
          </cell>
          <cell r="K506">
            <v>45973</v>
          </cell>
          <cell r="L506" t="str">
            <v>Dubai</v>
          </cell>
        </row>
        <row r="507">
          <cell r="A507" t="str">
            <v>X074981</v>
          </cell>
          <cell r="C507" t="str">
            <v>Russo's New York Pizzeria - Dubai</v>
          </cell>
          <cell r="D507" t="str">
            <v>% Off</v>
          </cell>
          <cell r="E507">
            <v>46023</v>
          </cell>
          <cell r="F507" t="str">
            <v>31/12/2026</v>
          </cell>
          <cell r="G507" t="str">
            <v>2026 YaHala Delivery - Dubai Offers</v>
          </cell>
          <cell r="H507" t="str">
            <v>a0CTi00005KB4LaMAL</v>
          </cell>
          <cell r="I507" t="str">
            <v>L26DBDLYA</v>
          </cell>
          <cell r="J507" t="str">
            <v>Active</v>
          </cell>
          <cell r="K507">
            <v>45974</v>
          </cell>
          <cell r="L507" t="str">
            <v>Dubai</v>
          </cell>
        </row>
        <row r="508">
          <cell r="A508" t="str">
            <v>X23887116</v>
          </cell>
          <cell r="C508" t="str">
            <v>New Shanghai Dubai</v>
          </cell>
          <cell r="D508" t="str">
            <v>% Off</v>
          </cell>
          <cell r="E508">
            <v>46023</v>
          </cell>
          <cell r="F508" t="str">
            <v>31/12/2026</v>
          </cell>
          <cell r="G508" t="str">
            <v>2026 YaHala Delivery - Dubai Offers</v>
          </cell>
          <cell r="H508" t="str">
            <v>a0CTi00005KB4LaMAL</v>
          </cell>
          <cell r="I508" t="str">
            <v>L26DBDLYA</v>
          </cell>
          <cell r="J508" t="str">
            <v>Active</v>
          </cell>
          <cell r="K508">
            <v>45979</v>
          </cell>
          <cell r="L508" t="str">
            <v>Dubai</v>
          </cell>
        </row>
        <row r="509">
          <cell r="A509" t="str">
            <v>X23957241</v>
          </cell>
          <cell r="C509" t="str">
            <v>Inkognito Burger</v>
          </cell>
          <cell r="D509" t="str">
            <v>% Off</v>
          </cell>
          <cell r="E509">
            <v>46023</v>
          </cell>
          <cell r="F509" t="str">
            <v>31/12/2026</v>
          </cell>
          <cell r="G509" t="str">
            <v>2026 YaHala Delivery - Dubai Offers</v>
          </cell>
          <cell r="H509" t="str">
            <v>a0CTi00005KB4LaMAL</v>
          </cell>
          <cell r="I509" t="str">
            <v>L26DBDLYA</v>
          </cell>
          <cell r="J509" t="str">
            <v>Active</v>
          </cell>
          <cell r="K509">
            <v>45988</v>
          </cell>
          <cell r="L509" t="str">
            <v>Dubai</v>
          </cell>
        </row>
        <row r="510">
          <cell r="A510" t="str">
            <v>X23945585</v>
          </cell>
          <cell r="C510" t="str">
            <v>Pinsa Romana</v>
          </cell>
          <cell r="D510" t="str">
            <v>% Off</v>
          </cell>
          <cell r="E510">
            <v>46023</v>
          </cell>
          <cell r="F510" t="str">
            <v>31/12/2026</v>
          </cell>
          <cell r="G510" t="str">
            <v>2026 YaHala Delivery - Dubai Offers</v>
          </cell>
          <cell r="H510" t="str">
            <v>a0CTi00005KB4LaMAL</v>
          </cell>
          <cell r="I510" t="str">
            <v>L26DBDLYA</v>
          </cell>
          <cell r="J510" t="str">
            <v>Active</v>
          </cell>
          <cell r="K510">
            <v>46001</v>
          </cell>
          <cell r="L510" t="str">
            <v>Dubai</v>
          </cell>
        </row>
        <row r="511">
          <cell r="A511" t="str">
            <v>X23045231</v>
          </cell>
          <cell r="C511" t="str">
            <v>Ostro</v>
          </cell>
          <cell r="D511" t="str">
            <v>% Off</v>
          </cell>
          <cell r="E511">
            <v>46023</v>
          </cell>
          <cell r="F511" t="str">
            <v>31/12/2026</v>
          </cell>
          <cell r="G511" t="str">
            <v>2026 YaHala Delivery - Dubai Offers</v>
          </cell>
          <cell r="H511" t="str">
            <v>a0CTi00005KB4LaMAL</v>
          </cell>
          <cell r="I511" t="str">
            <v>L26DBDLYA</v>
          </cell>
          <cell r="J511" t="str">
            <v>Active</v>
          </cell>
          <cell r="K511">
            <v>46001</v>
          </cell>
          <cell r="L511" t="str">
            <v>Dubai</v>
          </cell>
        </row>
        <row r="512">
          <cell r="A512" t="str">
            <v>X21547807</v>
          </cell>
          <cell r="C512" t="str">
            <v>Premium Cosmetic Laser Center</v>
          </cell>
          <cell r="D512" t="str">
            <v>% Off</v>
          </cell>
          <cell r="E512">
            <v>46023</v>
          </cell>
          <cell r="F512" t="str">
            <v>31/12/2026</v>
          </cell>
          <cell r="G512" t="str">
            <v>2026 YAHALA - Dubai Offers</v>
          </cell>
          <cell r="H512" t="str">
            <v>a0CTi00005KAd85MAD</v>
          </cell>
          <cell r="I512" t="str">
            <v>L26DBYAHA</v>
          </cell>
          <cell r="J512" t="str">
            <v>Active</v>
          </cell>
          <cell r="K512">
            <v>46024</v>
          </cell>
          <cell r="L512" t="str">
            <v>Dubai</v>
          </cell>
        </row>
        <row r="513">
          <cell r="A513" t="str">
            <v>X21547807</v>
          </cell>
          <cell r="C513" t="str">
            <v>Premium Cosmetic Laser Center</v>
          </cell>
          <cell r="D513" t="str">
            <v>% Off</v>
          </cell>
          <cell r="E513">
            <v>46023</v>
          </cell>
          <cell r="F513" t="str">
            <v>31/12/2026</v>
          </cell>
          <cell r="G513" t="str">
            <v>2026 YAHALA - Dubai Offers</v>
          </cell>
          <cell r="H513" t="str">
            <v>a0CTi00005KAd85MAD</v>
          </cell>
          <cell r="I513" t="str">
            <v>L26DBYAHA</v>
          </cell>
          <cell r="J513" t="str">
            <v>Active</v>
          </cell>
          <cell r="K513">
            <v>46024</v>
          </cell>
          <cell r="L513" t="str">
            <v>Dubai</v>
          </cell>
        </row>
        <row r="514">
          <cell r="A514" t="str">
            <v>X21547807</v>
          </cell>
          <cell r="C514" t="str">
            <v>Premium Cosmetic Laser Center</v>
          </cell>
          <cell r="D514" t="str">
            <v>% Off</v>
          </cell>
          <cell r="E514">
            <v>46023</v>
          </cell>
          <cell r="F514" t="str">
            <v>31/12/2026</v>
          </cell>
          <cell r="G514" t="str">
            <v>2026 YAHALA - Dubai Offers</v>
          </cell>
          <cell r="H514" t="str">
            <v>a0CTi00005KAd85MAD</v>
          </cell>
          <cell r="I514" t="str">
            <v>L26DBYAHA</v>
          </cell>
          <cell r="J514" t="str">
            <v>Active</v>
          </cell>
          <cell r="K514">
            <v>46024</v>
          </cell>
          <cell r="L514" t="str">
            <v>Dubai</v>
          </cell>
        </row>
        <row r="515">
          <cell r="A515" t="str">
            <v>X23929530</v>
          </cell>
          <cell r="C515" t="str">
            <v>Emirates Optical</v>
          </cell>
          <cell r="D515" t="str">
            <v>% Off</v>
          </cell>
          <cell r="E515">
            <v>46023</v>
          </cell>
          <cell r="F515" t="str">
            <v>31/12/2026</v>
          </cell>
          <cell r="G515" t="str">
            <v>2026 YAHALA - Dubai Offers</v>
          </cell>
          <cell r="H515" t="str">
            <v>a0CTi00005KAd85MAD</v>
          </cell>
          <cell r="I515" t="str">
            <v>L26DBYAHA</v>
          </cell>
          <cell r="J515" t="str">
            <v>Active</v>
          </cell>
          <cell r="K515">
            <v>45945</v>
          </cell>
          <cell r="L515" t="str">
            <v>Dubai</v>
          </cell>
        </row>
        <row r="516">
          <cell r="A516" t="str">
            <v>X23240792</v>
          </cell>
          <cell r="C516" t="str">
            <v>Champion Cleaners</v>
          </cell>
          <cell r="D516" t="str">
            <v>% Off</v>
          </cell>
          <cell r="E516">
            <v>46023</v>
          </cell>
          <cell r="F516" t="str">
            <v>31/12/2026</v>
          </cell>
          <cell r="G516" t="str">
            <v>2026 YAHALA - Dubai Offers</v>
          </cell>
          <cell r="H516" t="str">
            <v>a0CTi00005KAd85MAD</v>
          </cell>
          <cell r="I516" t="str">
            <v>L26DBYAHA</v>
          </cell>
          <cell r="J516" t="str">
            <v>Active</v>
          </cell>
          <cell r="K516">
            <v>45783</v>
          </cell>
          <cell r="L516" t="str">
            <v>Dubai</v>
          </cell>
        </row>
        <row r="517">
          <cell r="A517" t="str">
            <v>X23240792</v>
          </cell>
          <cell r="C517" t="str">
            <v>Champion Cleaners</v>
          </cell>
          <cell r="D517" t="str">
            <v>% Off</v>
          </cell>
          <cell r="E517">
            <v>46023</v>
          </cell>
          <cell r="F517" t="str">
            <v>31/12/2026</v>
          </cell>
          <cell r="G517" t="str">
            <v>2026 YAHALA - Dubai Offers</v>
          </cell>
          <cell r="H517" t="str">
            <v>a0CTi00005KAd85MAD</v>
          </cell>
          <cell r="I517" t="str">
            <v>L26DBYAHA</v>
          </cell>
          <cell r="J517" t="str">
            <v>Active</v>
          </cell>
          <cell r="K517">
            <v>45783</v>
          </cell>
          <cell r="L517" t="str">
            <v>Dubai</v>
          </cell>
        </row>
        <row r="518">
          <cell r="A518" t="str">
            <v>X23240792</v>
          </cell>
          <cell r="C518" t="str">
            <v>Champion Cleaners</v>
          </cell>
          <cell r="D518" t="str">
            <v>% Off</v>
          </cell>
          <cell r="E518">
            <v>46023</v>
          </cell>
          <cell r="F518" t="str">
            <v>31/12/2026</v>
          </cell>
          <cell r="G518" t="str">
            <v>2026 YAHALA - Dubai Offers</v>
          </cell>
          <cell r="H518" t="str">
            <v>a0CTi00005KAd85MAD</v>
          </cell>
          <cell r="I518" t="str">
            <v>L26DBYAHA</v>
          </cell>
          <cell r="J518" t="str">
            <v>Active</v>
          </cell>
          <cell r="K518">
            <v>45783</v>
          </cell>
          <cell r="L518" t="str">
            <v>Dubai</v>
          </cell>
        </row>
        <row r="519">
          <cell r="A519" t="str">
            <v>X23872361</v>
          </cell>
          <cell r="C519" t="str">
            <v>Battery &amp; Wheels</v>
          </cell>
          <cell r="D519" t="str">
            <v>% Off</v>
          </cell>
          <cell r="E519">
            <v>46023</v>
          </cell>
          <cell r="F519" t="str">
            <v>31/12/2026</v>
          </cell>
          <cell r="G519" t="str">
            <v>2026 YAHALA - Dubai Offers</v>
          </cell>
          <cell r="H519" t="str">
            <v>a0CTi00005KAd85MAD</v>
          </cell>
          <cell r="I519" t="str">
            <v>L26DBYAHA</v>
          </cell>
          <cell r="J519" t="str">
            <v>Active</v>
          </cell>
          <cell r="K519">
            <v>45863</v>
          </cell>
          <cell r="L519" t="str">
            <v>Dubai</v>
          </cell>
        </row>
        <row r="520">
          <cell r="A520" t="str">
            <v>X23872361</v>
          </cell>
          <cell r="C520" t="str">
            <v>Battery &amp; Wheels</v>
          </cell>
          <cell r="D520" t="str">
            <v>% Off</v>
          </cell>
          <cell r="E520">
            <v>46023</v>
          </cell>
          <cell r="F520" t="str">
            <v>31/12/2026</v>
          </cell>
          <cell r="G520" t="str">
            <v>2026 YAHALA - Dubai Offers</v>
          </cell>
          <cell r="H520" t="str">
            <v>a0CTi00005KAd85MAD</v>
          </cell>
          <cell r="I520" t="str">
            <v>L26DBYAHA</v>
          </cell>
          <cell r="J520" t="str">
            <v>Active</v>
          </cell>
          <cell r="K520">
            <v>45863</v>
          </cell>
          <cell r="L520" t="str">
            <v>Dubai</v>
          </cell>
        </row>
        <row r="521">
          <cell r="A521" t="str">
            <v>X23874806</v>
          </cell>
          <cell r="C521" t="str">
            <v>Paw Parking Domestic Pets Grooming</v>
          </cell>
          <cell r="D521" t="str">
            <v>% Off</v>
          </cell>
          <cell r="E521">
            <v>46023</v>
          </cell>
          <cell r="F521" t="str">
            <v>31/12/2026</v>
          </cell>
          <cell r="G521" t="str">
            <v>2026 YAHALA - Dubai Offers</v>
          </cell>
          <cell r="H521" t="str">
            <v>a0CTi00005KAd85MAD</v>
          </cell>
          <cell r="I521" t="str">
            <v>L26DBYAHA</v>
          </cell>
          <cell r="J521" t="str">
            <v>Active</v>
          </cell>
          <cell r="K521">
            <v>45980</v>
          </cell>
          <cell r="L521" t="str">
            <v>Dubai</v>
          </cell>
        </row>
        <row r="522">
          <cell r="A522" t="str">
            <v>X23874806</v>
          </cell>
          <cell r="C522" t="str">
            <v>Paw Parking Domestic Pets Grooming</v>
          </cell>
          <cell r="D522" t="str">
            <v>% Off</v>
          </cell>
          <cell r="E522">
            <v>46023</v>
          </cell>
          <cell r="F522" t="str">
            <v>31/12/2026</v>
          </cell>
          <cell r="G522" t="str">
            <v>2026 YAHALA - Dubai Offers</v>
          </cell>
          <cell r="H522" t="str">
            <v>a0CTi00005KAd85MAD</v>
          </cell>
          <cell r="I522" t="str">
            <v>L26DBYAHA</v>
          </cell>
          <cell r="J522" t="str">
            <v>Active</v>
          </cell>
          <cell r="K522">
            <v>45980</v>
          </cell>
          <cell r="L522" t="str">
            <v>Dubai</v>
          </cell>
        </row>
        <row r="523">
          <cell r="A523" t="str">
            <v>X23874806</v>
          </cell>
          <cell r="C523" t="str">
            <v>Paw Parking Domestic Pets Grooming</v>
          </cell>
          <cell r="D523" t="str">
            <v>% Off</v>
          </cell>
          <cell r="E523">
            <v>46023</v>
          </cell>
          <cell r="F523" t="str">
            <v>31/12/2026</v>
          </cell>
          <cell r="G523" t="str">
            <v>2026 YAHALA - Dubai Offers</v>
          </cell>
          <cell r="H523" t="str">
            <v>a0CTi00005KAd85MAD</v>
          </cell>
          <cell r="I523" t="str">
            <v>L26DBYAHA</v>
          </cell>
          <cell r="J523" t="str">
            <v>Active</v>
          </cell>
          <cell r="K523">
            <v>45980</v>
          </cell>
          <cell r="L523" t="str">
            <v>Dubai</v>
          </cell>
        </row>
        <row r="524">
          <cell r="A524" t="str">
            <v>X23892678</v>
          </cell>
          <cell r="C524" t="str">
            <v>UPS</v>
          </cell>
          <cell r="D524" t="str">
            <v>% Off</v>
          </cell>
          <cell r="E524">
            <v>46023</v>
          </cell>
          <cell r="F524" t="str">
            <v>31/12/2026</v>
          </cell>
          <cell r="G524" t="str">
            <v>2026 YAHALA - Dubai Offers</v>
          </cell>
          <cell r="H524" t="str">
            <v>a0CTi00005KAd85MAD</v>
          </cell>
          <cell r="I524" t="str">
            <v>L26DBYAHA</v>
          </cell>
          <cell r="J524" t="str">
            <v>Active</v>
          </cell>
          <cell r="K524">
            <v>45994</v>
          </cell>
          <cell r="L524" t="str">
            <v>Dubai</v>
          </cell>
        </row>
        <row r="525">
          <cell r="A525" t="str">
            <v>X23958915</v>
          </cell>
          <cell r="C525" t="str">
            <v>Dogwalk Pets Nursery</v>
          </cell>
          <cell r="D525" t="str">
            <v>% Off</v>
          </cell>
          <cell r="E525" t="str">
            <v>25/03/2026</v>
          </cell>
          <cell r="F525" t="str">
            <v>31/12/2026</v>
          </cell>
          <cell r="G525" t="str">
            <v>2026 YAHALA - Dubai Offers</v>
          </cell>
          <cell r="H525" t="str">
            <v>a0CTi00005KAd85MAD</v>
          </cell>
          <cell r="I525" t="str">
            <v>L26DBYAHA</v>
          </cell>
          <cell r="J525" t="str">
            <v>Active</v>
          </cell>
          <cell r="K525">
            <v>46087</v>
          </cell>
          <cell r="L525" t="str">
            <v>Dubai</v>
          </cell>
        </row>
        <row r="526">
          <cell r="A526" t="str">
            <v>X23958915</v>
          </cell>
          <cell r="C526" t="str">
            <v>Dogwalk Pets Nursery</v>
          </cell>
          <cell r="D526" t="str">
            <v>% Off</v>
          </cell>
          <cell r="E526" t="str">
            <v>25/03/2026</v>
          </cell>
          <cell r="F526" t="str">
            <v>31/12/2026</v>
          </cell>
          <cell r="G526" t="str">
            <v>2026 YAHALA - Dubai Offers</v>
          </cell>
          <cell r="H526" t="str">
            <v>a0CTi00005KAd85MAD</v>
          </cell>
          <cell r="I526" t="str">
            <v>L26DBYAHA</v>
          </cell>
          <cell r="J526" t="str">
            <v>Active</v>
          </cell>
          <cell r="K526">
            <v>46087</v>
          </cell>
          <cell r="L526" t="str">
            <v>Dubai</v>
          </cell>
        </row>
        <row r="527">
          <cell r="A527" t="str">
            <v>X23958915</v>
          </cell>
          <cell r="C527" t="str">
            <v>Dogwalk Pets Nursery</v>
          </cell>
          <cell r="D527" t="str">
            <v>% Off</v>
          </cell>
          <cell r="E527" t="str">
            <v>25/03/2026</v>
          </cell>
          <cell r="F527" t="str">
            <v>31/12/2026</v>
          </cell>
          <cell r="G527" t="str">
            <v>2026 YAHALA - Dubai Offers</v>
          </cell>
          <cell r="H527" t="str">
            <v>a0CTi00005KAd85MAD</v>
          </cell>
          <cell r="I527" t="str">
            <v>L26DBYAHA</v>
          </cell>
          <cell r="J527" t="str">
            <v>Active</v>
          </cell>
          <cell r="K527">
            <v>46087</v>
          </cell>
          <cell r="L527" t="str">
            <v>Dubai</v>
          </cell>
        </row>
        <row r="528">
          <cell r="A528" t="str">
            <v>X23947492</v>
          </cell>
          <cell r="C528" t="str">
            <v>Low Calories</v>
          </cell>
          <cell r="D528" t="str">
            <v>% Off</v>
          </cell>
          <cell r="E528">
            <v>46023</v>
          </cell>
          <cell r="F528" t="str">
            <v>31/12/2026</v>
          </cell>
          <cell r="G528" t="str">
            <v>2026 YAHALA Exclusive - Abu Dhabi</v>
          </cell>
          <cell r="H528" t="str">
            <v>a0CTi000050nkYaMAI</v>
          </cell>
          <cell r="I528" t="str">
            <v>L26ADYAEX</v>
          </cell>
          <cell r="J528" t="str">
            <v>Active</v>
          </cell>
          <cell r="K528">
            <v>45994</v>
          </cell>
          <cell r="L528" t="str">
            <v>Abu Dhabi</v>
          </cell>
        </row>
        <row r="529">
          <cell r="A529" t="str">
            <v>X23953435</v>
          </cell>
          <cell r="C529" t="str">
            <v>Noon SuperMall -Abu Dhabi</v>
          </cell>
          <cell r="D529" t="str">
            <v>% Off</v>
          </cell>
          <cell r="E529">
            <v>46023</v>
          </cell>
          <cell r="F529" t="str">
            <v>31/12/2026</v>
          </cell>
          <cell r="G529" t="str">
            <v>2026 YAHALA Exclusive - Abu Dhabi</v>
          </cell>
          <cell r="H529" t="str">
            <v>a0CTi000050nkYaMAI</v>
          </cell>
          <cell r="I529" t="str">
            <v>L26ADYAEX</v>
          </cell>
          <cell r="J529" t="str">
            <v>Active</v>
          </cell>
          <cell r="K529">
            <v>45994</v>
          </cell>
          <cell r="L529" t="str">
            <v>Abu Dhabi</v>
          </cell>
        </row>
        <row r="530">
          <cell r="A530" t="str">
            <v>X23953435</v>
          </cell>
          <cell r="C530" t="str">
            <v>Noon SuperMall -Abu Dhabi</v>
          </cell>
          <cell r="D530" t="str">
            <v>% Off</v>
          </cell>
          <cell r="E530">
            <v>46023</v>
          </cell>
          <cell r="F530" t="str">
            <v>31/12/2026</v>
          </cell>
          <cell r="G530" t="str">
            <v>2026 YAHALA Exclusive - Abu Dhabi</v>
          </cell>
          <cell r="H530" t="str">
            <v>a0CTi000050nkYaMAI</v>
          </cell>
          <cell r="I530" t="str">
            <v>L26ADYAEX</v>
          </cell>
          <cell r="J530" t="str">
            <v>Active</v>
          </cell>
          <cell r="K530">
            <v>45994</v>
          </cell>
          <cell r="L530" t="str">
            <v>Abu Dhabi</v>
          </cell>
        </row>
        <row r="531">
          <cell r="A531" t="str">
            <v>X23880302</v>
          </cell>
          <cell r="C531" t="str">
            <v>Europcar</v>
          </cell>
          <cell r="D531" t="str">
            <v>Package</v>
          </cell>
          <cell r="E531">
            <v>46023</v>
          </cell>
          <cell r="F531" t="str">
            <v>31/12/2026</v>
          </cell>
          <cell r="G531" t="str">
            <v>2026 YAHALA Exclusive - Dubai</v>
          </cell>
          <cell r="H531" t="str">
            <v>a0CTi000050nqirMAA</v>
          </cell>
          <cell r="I531" t="str">
            <v>L26DBYAEX</v>
          </cell>
          <cell r="J531" t="str">
            <v>Active</v>
          </cell>
          <cell r="K531">
            <v>45994</v>
          </cell>
          <cell r="L531" t="str">
            <v>Dubai</v>
          </cell>
        </row>
        <row r="532">
          <cell r="A532" t="str">
            <v>X23926950</v>
          </cell>
          <cell r="C532" t="str">
            <v>Museum of the Future</v>
          </cell>
          <cell r="D532" t="str">
            <v>% Off</v>
          </cell>
          <cell r="E532">
            <v>46023</v>
          </cell>
          <cell r="F532" t="str">
            <v>31/12/2026</v>
          </cell>
          <cell r="G532" t="str">
            <v>2026 YAHALA Exclusive - Dubai</v>
          </cell>
          <cell r="H532" t="str">
            <v>a0CTi000050nqirMAA</v>
          </cell>
          <cell r="I532" t="str">
            <v>L26DBYAEX</v>
          </cell>
          <cell r="J532" t="str">
            <v>Active</v>
          </cell>
          <cell r="K532">
            <v>45994</v>
          </cell>
          <cell r="L532" t="str">
            <v>Dubai</v>
          </cell>
        </row>
        <row r="533">
          <cell r="A533" t="str">
            <v>X23926950</v>
          </cell>
          <cell r="C533" t="str">
            <v>Museum of the Future</v>
          </cell>
          <cell r="D533" t="str">
            <v>% Off</v>
          </cell>
          <cell r="E533">
            <v>46023</v>
          </cell>
          <cell r="F533" t="str">
            <v>31/12/2026</v>
          </cell>
          <cell r="G533" t="str">
            <v>2026 YAHALA Exclusive - Dubai</v>
          </cell>
          <cell r="H533" t="str">
            <v>a0CTi000050nqirMAA</v>
          </cell>
          <cell r="I533" t="str">
            <v>L26DBYAEX</v>
          </cell>
          <cell r="J533" t="str">
            <v>Active</v>
          </cell>
          <cell r="K533">
            <v>45994</v>
          </cell>
          <cell r="L533" t="str">
            <v>Dubai</v>
          </cell>
        </row>
        <row r="534">
          <cell r="A534" t="str">
            <v>X23949477</v>
          </cell>
          <cell r="C534" t="str">
            <v>HONOR - ONLINE</v>
          </cell>
          <cell r="D534" t="str">
            <v>% Off</v>
          </cell>
          <cell r="E534">
            <v>46023</v>
          </cell>
          <cell r="F534" t="str">
            <v>31/12/2026</v>
          </cell>
          <cell r="G534" t="str">
            <v>2026 YAHALA Exclusive - Dubai</v>
          </cell>
          <cell r="H534" t="str">
            <v>a0CTi000050nqirMAA</v>
          </cell>
          <cell r="I534" t="str">
            <v>L26DBYAEX</v>
          </cell>
          <cell r="J534" t="str">
            <v>Active</v>
          </cell>
          <cell r="K534">
            <v>45996</v>
          </cell>
          <cell r="L534" t="str">
            <v>Dubai</v>
          </cell>
        </row>
        <row r="535">
          <cell r="A535" t="str">
            <v>X23913214</v>
          </cell>
          <cell r="C535" t="str">
            <v>Noon One</v>
          </cell>
          <cell r="D535" t="str">
            <v>Package</v>
          </cell>
          <cell r="E535">
            <v>46023</v>
          </cell>
          <cell r="F535" t="str">
            <v>31/12/2026</v>
          </cell>
          <cell r="G535" t="str">
            <v>2026 YAHALA Exclusive - Dubai</v>
          </cell>
          <cell r="H535" t="str">
            <v>a0CTi000050nqirMAA</v>
          </cell>
          <cell r="I535" t="str">
            <v>L26DBYAEX</v>
          </cell>
          <cell r="J535" t="str">
            <v>Active</v>
          </cell>
          <cell r="K535">
            <v>45996</v>
          </cell>
          <cell r="L535" t="str">
            <v>Dubai</v>
          </cell>
        </row>
        <row r="536">
          <cell r="A536" t="str">
            <v>X23908474</v>
          </cell>
          <cell r="C536" t="str">
            <v>Ain Dubai</v>
          </cell>
          <cell r="D536" t="str">
            <v>% Off</v>
          </cell>
          <cell r="E536">
            <v>46023</v>
          </cell>
          <cell r="F536" t="str">
            <v>31/12/2026</v>
          </cell>
          <cell r="G536" t="str">
            <v>2026 YAHALA Exclusive - Dubai</v>
          </cell>
          <cell r="H536" t="str">
            <v>a0CTi000050nqirMAA</v>
          </cell>
          <cell r="I536" t="str">
            <v>L26DBYAEX</v>
          </cell>
          <cell r="J536" t="str">
            <v>Active</v>
          </cell>
          <cell r="K536">
            <v>45996</v>
          </cell>
          <cell r="L536" t="str">
            <v>Dubai</v>
          </cell>
        </row>
        <row r="537">
          <cell r="A537" t="str">
            <v>X23879758</v>
          </cell>
          <cell r="C537" t="str">
            <v>La Perle</v>
          </cell>
          <cell r="D537" t="str">
            <v>% Off</v>
          </cell>
          <cell r="E537">
            <v>46023</v>
          </cell>
          <cell r="F537" t="str">
            <v>31/12/2026</v>
          </cell>
          <cell r="G537" t="str">
            <v>2026 YAHALA Exclusive - Dubai</v>
          </cell>
          <cell r="H537" t="str">
            <v>a0CTi000050nqirMAA</v>
          </cell>
          <cell r="I537" t="str">
            <v>L26DBYAEX</v>
          </cell>
          <cell r="J537" t="str">
            <v>Active</v>
          </cell>
          <cell r="K537">
            <v>45996</v>
          </cell>
          <cell r="L537" t="str">
            <v>Dubai</v>
          </cell>
        </row>
        <row r="538">
          <cell r="A538" t="str">
            <v>X22859859</v>
          </cell>
          <cell r="C538" t="str">
            <v>SIXT Rent a Car</v>
          </cell>
          <cell r="D538" t="str">
            <v>% Off</v>
          </cell>
          <cell r="E538">
            <v>46023</v>
          </cell>
          <cell r="F538" t="str">
            <v>31/12/2026</v>
          </cell>
          <cell r="G538" t="str">
            <v>2026 YAHALA Exclusive - Dubai</v>
          </cell>
          <cell r="H538" t="str">
            <v>a0CTi000050nqirMAA</v>
          </cell>
          <cell r="I538" t="str">
            <v>L26DBYAEX</v>
          </cell>
          <cell r="J538" t="str">
            <v>Active</v>
          </cell>
          <cell r="K538">
            <v>45996</v>
          </cell>
          <cell r="L538" t="str">
            <v>Dubai</v>
          </cell>
        </row>
        <row r="539">
          <cell r="A539" t="str">
            <v>X22859859</v>
          </cell>
          <cell r="C539" t="str">
            <v>SIXT Rent a Car</v>
          </cell>
          <cell r="D539" t="str">
            <v>% Off</v>
          </cell>
          <cell r="E539">
            <v>46023</v>
          </cell>
          <cell r="F539" t="str">
            <v>31/12/2026</v>
          </cell>
          <cell r="G539" t="str">
            <v>2026 YAHALA Exclusive - Dubai</v>
          </cell>
          <cell r="H539" t="str">
            <v>a0CTi000050nqirMAA</v>
          </cell>
          <cell r="I539" t="str">
            <v>L26DBYAEX</v>
          </cell>
          <cell r="J539" t="str">
            <v>Active</v>
          </cell>
          <cell r="K539">
            <v>45996</v>
          </cell>
          <cell r="L539" t="str">
            <v>Dubai</v>
          </cell>
        </row>
        <row r="540">
          <cell r="A540" t="str">
            <v>X23950055</v>
          </cell>
          <cell r="C540" t="str">
            <v>Ghawali</v>
          </cell>
          <cell r="D540" t="str">
            <v>Package</v>
          </cell>
          <cell r="E540">
            <v>46023</v>
          </cell>
          <cell r="F540" t="str">
            <v>31/12/2026</v>
          </cell>
          <cell r="G540" t="str">
            <v>2026 YAHALA Exclusive - Dubai</v>
          </cell>
          <cell r="H540" t="str">
            <v>a0CTi000050nqirMAA</v>
          </cell>
          <cell r="I540" t="str">
            <v>L26DBYAEX</v>
          </cell>
          <cell r="J540" t="str">
            <v>Active</v>
          </cell>
          <cell r="K540">
            <v>45996</v>
          </cell>
          <cell r="L540" t="str">
            <v>Dubai</v>
          </cell>
        </row>
        <row r="541">
          <cell r="A541" t="str">
            <v>X23881334</v>
          </cell>
          <cell r="C541" t="str">
            <v>British Orchard Nursery</v>
          </cell>
          <cell r="D541" t="str">
            <v>% Off</v>
          </cell>
          <cell r="E541">
            <v>46023</v>
          </cell>
          <cell r="F541" t="str">
            <v>31/12/2026</v>
          </cell>
          <cell r="G541" t="str">
            <v>2026 YAHALA Exclusive - Dubai</v>
          </cell>
          <cell r="H541" t="str">
            <v>a0CTi000050nqirMAA</v>
          </cell>
          <cell r="I541" t="str">
            <v>L26DBYAEX</v>
          </cell>
          <cell r="J541" t="str">
            <v>Active</v>
          </cell>
          <cell r="K541">
            <v>45996</v>
          </cell>
          <cell r="L541" t="str">
            <v>Dubai</v>
          </cell>
        </row>
        <row r="542">
          <cell r="A542" t="str">
            <v>X23879758</v>
          </cell>
          <cell r="C542" t="str">
            <v>La Perle</v>
          </cell>
          <cell r="D542" t="str">
            <v>% Off</v>
          </cell>
          <cell r="E542">
            <v>46023</v>
          </cell>
          <cell r="F542" t="str">
            <v>31/12/2026</v>
          </cell>
          <cell r="G542" t="str">
            <v>2026 YAHALA Exclusive - Dubai</v>
          </cell>
          <cell r="H542" t="str">
            <v>a0CTi000050nqirMAA</v>
          </cell>
          <cell r="I542" t="str">
            <v>L26DBYAEX</v>
          </cell>
          <cell r="J542" t="str">
            <v>Active</v>
          </cell>
          <cell r="K542">
            <v>45996</v>
          </cell>
          <cell r="L542" t="str">
            <v>Dubai</v>
          </cell>
        </row>
        <row r="543">
          <cell r="A543" t="str">
            <v>X23908474</v>
          </cell>
          <cell r="C543" t="str">
            <v>Ain Dubai</v>
          </cell>
          <cell r="D543" t="str">
            <v>% Off</v>
          </cell>
          <cell r="E543">
            <v>46023</v>
          </cell>
          <cell r="F543" t="str">
            <v>31/12/2026</v>
          </cell>
          <cell r="G543" t="str">
            <v>2026 YAHALA Exclusive - Dubai</v>
          </cell>
          <cell r="H543" t="str">
            <v>a0CTi000050nqirMAA</v>
          </cell>
          <cell r="I543" t="str">
            <v>L26DBYAEX</v>
          </cell>
          <cell r="J543" t="str">
            <v>Active</v>
          </cell>
          <cell r="K543">
            <v>46049</v>
          </cell>
          <cell r="L543" t="str">
            <v>Dubai</v>
          </cell>
        </row>
        <row r="544">
          <cell r="A544" t="str">
            <v>X23949739</v>
          </cell>
          <cell r="C544" t="str">
            <v>LEGOLAND® Water Park, Dubai</v>
          </cell>
          <cell r="D544" t="str">
            <v>% Off</v>
          </cell>
          <cell r="E544">
            <v>46023</v>
          </cell>
          <cell r="F544" t="str">
            <v>31/12/2026</v>
          </cell>
          <cell r="G544" t="str">
            <v>2026 YAHALA Exclusive - Dubai</v>
          </cell>
          <cell r="H544" t="str">
            <v>a0CTi000050nqirMAA</v>
          </cell>
          <cell r="I544" t="str">
            <v>L26DBYAEX</v>
          </cell>
          <cell r="J544" t="str">
            <v>Active</v>
          </cell>
          <cell r="K544">
            <v>46056</v>
          </cell>
          <cell r="L544" t="str">
            <v>Dubai</v>
          </cell>
        </row>
        <row r="545">
          <cell r="A545" t="str">
            <v>X23958307</v>
          </cell>
          <cell r="C545" t="str">
            <v>T-Rex Glamping</v>
          </cell>
          <cell r="D545" t="str">
            <v>% Off</v>
          </cell>
          <cell r="E545">
            <v>46023</v>
          </cell>
          <cell r="F545" t="str">
            <v>31/12/2026</v>
          </cell>
          <cell r="G545" t="str">
            <v>2026 YAHALA Exclusive - Dubai</v>
          </cell>
          <cell r="H545" t="str">
            <v>a0CTi000050nqirMAA</v>
          </cell>
          <cell r="I545" t="str">
            <v>L26DBYAEX</v>
          </cell>
          <cell r="J545" t="str">
            <v>Active</v>
          </cell>
          <cell r="K545">
            <v>46056</v>
          </cell>
          <cell r="L545" t="str">
            <v>Dubai</v>
          </cell>
        </row>
        <row r="546">
          <cell r="A546" t="str">
            <v>X23913582</v>
          </cell>
          <cell r="C546" t="str">
            <v>LEGOLAND® Dubai</v>
          </cell>
          <cell r="D546" t="str">
            <v>% Off</v>
          </cell>
          <cell r="E546">
            <v>46023</v>
          </cell>
          <cell r="F546" t="str">
            <v>31/12/2026</v>
          </cell>
          <cell r="G546" t="str">
            <v>2026 YAHALA Exclusive - Dubai</v>
          </cell>
          <cell r="H546" t="str">
            <v>a0CTi000050nqirMAA</v>
          </cell>
          <cell r="I546" t="str">
            <v>L26DBYAEX</v>
          </cell>
          <cell r="J546" t="str">
            <v>Active</v>
          </cell>
          <cell r="K546">
            <v>46056</v>
          </cell>
          <cell r="L546" t="str">
            <v>Dubai</v>
          </cell>
        </row>
        <row r="547">
          <cell r="A547" t="str">
            <v>X23940952</v>
          </cell>
          <cell r="C547" t="str">
            <v>Neon Galaxy</v>
          </cell>
          <cell r="D547" t="str">
            <v>% Off</v>
          </cell>
          <cell r="E547">
            <v>46023</v>
          </cell>
          <cell r="F547" t="str">
            <v>31/12/2026</v>
          </cell>
          <cell r="G547" t="str">
            <v>2026 YAHALA Exclusive - Dubai</v>
          </cell>
          <cell r="H547" t="str">
            <v>a0CTi000050nqirMAA</v>
          </cell>
          <cell r="I547" t="str">
            <v>L26DBYAEX</v>
          </cell>
          <cell r="J547" t="str">
            <v>Active</v>
          </cell>
          <cell r="K547">
            <v>46056</v>
          </cell>
          <cell r="L547" t="str">
            <v>Dubai</v>
          </cell>
        </row>
        <row r="548">
          <cell r="A548" t="str">
            <v>X23913579</v>
          </cell>
          <cell r="C548" t="str">
            <v>MOTIONGATE™ Dubai</v>
          </cell>
          <cell r="D548" t="str">
            <v>% Off</v>
          </cell>
          <cell r="E548">
            <v>46023</v>
          </cell>
          <cell r="F548" t="str">
            <v>31/12/2026</v>
          </cell>
          <cell r="G548" t="str">
            <v>2026 YAHALA Exclusive - Dubai</v>
          </cell>
          <cell r="H548" t="str">
            <v>a0CTi000050nqirMAA</v>
          </cell>
          <cell r="I548" t="str">
            <v>L26DBYAEX</v>
          </cell>
          <cell r="J548" t="str">
            <v>Active</v>
          </cell>
          <cell r="K548">
            <v>46056</v>
          </cell>
          <cell r="L548" t="str">
            <v>Dubai</v>
          </cell>
        </row>
        <row r="549">
          <cell r="A549" t="str">
            <v>X23879761</v>
          </cell>
          <cell r="C549" t="str">
            <v>Emirates</v>
          </cell>
          <cell r="D549" t="str">
            <v>Package</v>
          </cell>
          <cell r="E549">
            <v>46023</v>
          </cell>
          <cell r="F549" t="str">
            <v>31/12/2026</v>
          </cell>
          <cell r="G549" t="str">
            <v>2026 YAHALA Exclusive - Dubai</v>
          </cell>
          <cell r="H549" t="str">
            <v>a0CTi000050nqirMAA</v>
          </cell>
          <cell r="I549" t="str">
            <v>L26DBYAEX</v>
          </cell>
          <cell r="J549" t="str">
            <v>Active</v>
          </cell>
          <cell r="K549">
            <v>46062</v>
          </cell>
          <cell r="L549" t="str">
            <v>Dubai</v>
          </cell>
        </row>
        <row r="550">
          <cell r="A550" t="str">
            <v>X23957989</v>
          </cell>
          <cell r="C550" t="str">
            <v>Kcal Lunch</v>
          </cell>
          <cell r="D550" t="str">
            <v>% Off</v>
          </cell>
          <cell r="E550">
            <v>46023</v>
          </cell>
          <cell r="F550" t="str">
            <v>31/12/2026</v>
          </cell>
          <cell r="G550" t="str">
            <v>2026 YAHALA Exclusive - Dubai</v>
          </cell>
          <cell r="H550" t="str">
            <v>a0CTi000050nqirMAA</v>
          </cell>
          <cell r="I550" t="str">
            <v>L26DBYAEX</v>
          </cell>
          <cell r="J550" t="str">
            <v>Active</v>
          </cell>
          <cell r="K550">
            <v>46034</v>
          </cell>
          <cell r="L550" t="str">
            <v>Dubai</v>
          </cell>
        </row>
        <row r="551">
          <cell r="A551" t="str">
            <v>X23957989</v>
          </cell>
          <cell r="C551" t="str">
            <v>Kcal Lunch</v>
          </cell>
          <cell r="D551" t="str">
            <v>Package</v>
          </cell>
          <cell r="E551">
            <v>46023</v>
          </cell>
          <cell r="F551" t="str">
            <v>31/12/2026</v>
          </cell>
          <cell r="G551" t="str">
            <v>2026 YAHALA Exclusive - Dubai</v>
          </cell>
          <cell r="H551" t="str">
            <v>a0CTi000050nqirMAA</v>
          </cell>
          <cell r="I551" t="str">
            <v>L26DBYAEX</v>
          </cell>
          <cell r="J551" t="str">
            <v>Active</v>
          </cell>
          <cell r="K551">
            <v>46034</v>
          </cell>
          <cell r="L551" t="str">
            <v>Dubai</v>
          </cell>
        </row>
        <row r="552">
          <cell r="A552" t="str">
            <v>X23957989</v>
          </cell>
          <cell r="C552" t="str">
            <v>Kcal Lunch</v>
          </cell>
          <cell r="D552" t="str">
            <v>% Off</v>
          </cell>
          <cell r="E552">
            <v>46023</v>
          </cell>
          <cell r="F552" t="str">
            <v>31/12/2026</v>
          </cell>
          <cell r="G552" t="str">
            <v>2026 YAHALA Exclusive - Dubai</v>
          </cell>
          <cell r="H552" t="str">
            <v>a0CTi000050nqirMAA</v>
          </cell>
          <cell r="I552" t="str">
            <v>L26DBYAEX</v>
          </cell>
          <cell r="J552" t="str">
            <v>Active</v>
          </cell>
          <cell r="K552">
            <v>46034</v>
          </cell>
          <cell r="L552" t="str">
            <v>Dubai</v>
          </cell>
        </row>
        <row r="553">
          <cell r="A553" t="str">
            <v>X23958315</v>
          </cell>
          <cell r="C553" t="str">
            <v>Healthy Kitchen</v>
          </cell>
          <cell r="D553" t="str">
            <v>% Off</v>
          </cell>
          <cell r="E553">
            <v>46023</v>
          </cell>
          <cell r="F553" t="str">
            <v>31/12/2026</v>
          </cell>
          <cell r="G553" t="str">
            <v>2026 YAHALA Exclusive - Dubai</v>
          </cell>
          <cell r="H553" t="str">
            <v>a0CTi000050nqirMAA</v>
          </cell>
          <cell r="I553" t="str">
            <v>L26DBYAEX</v>
          </cell>
          <cell r="J553" t="str">
            <v>Active</v>
          </cell>
          <cell r="K553">
            <v>46049</v>
          </cell>
          <cell r="L553" t="str">
            <v>Dubai</v>
          </cell>
        </row>
        <row r="554">
          <cell r="A554" t="str">
            <v>X23957989</v>
          </cell>
          <cell r="C554" t="str">
            <v>Kcal Lunch</v>
          </cell>
          <cell r="D554" t="str">
            <v>% Off</v>
          </cell>
          <cell r="E554">
            <v>46023</v>
          </cell>
          <cell r="F554" t="str">
            <v>31/12/2026</v>
          </cell>
          <cell r="G554" t="str">
            <v>2026 YAHALA Exclusive - Dubai</v>
          </cell>
          <cell r="H554" t="str">
            <v>a0CTi000050nqirMAA</v>
          </cell>
          <cell r="I554" t="str">
            <v>L26DBYAEX</v>
          </cell>
          <cell r="J554" t="str">
            <v>Active</v>
          </cell>
          <cell r="K554">
            <v>46034</v>
          </cell>
          <cell r="L554" t="str">
            <v>Dubai</v>
          </cell>
        </row>
        <row r="555">
          <cell r="A555" t="str">
            <v>X23957989</v>
          </cell>
          <cell r="C555" t="str">
            <v>Kcal Lunch</v>
          </cell>
          <cell r="D555" t="str">
            <v>Package</v>
          </cell>
          <cell r="E555">
            <v>46023</v>
          </cell>
          <cell r="F555" t="str">
            <v>31/12/2026</v>
          </cell>
          <cell r="G555" t="str">
            <v>2026 YAHALA Exclusive - Dubai</v>
          </cell>
          <cell r="H555" t="str">
            <v>a0CTi000050nqirMAA</v>
          </cell>
          <cell r="I555" t="str">
            <v>L26DBYAEX</v>
          </cell>
          <cell r="J555" t="str">
            <v>Active</v>
          </cell>
          <cell r="K555">
            <v>46034</v>
          </cell>
          <cell r="L555" t="str">
            <v>Dubai</v>
          </cell>
        </row>
        <row r="556">
          <cell r="A556" t="str">
            <v>X23958100</v>
          </cell>
          <cell r="C556" t="str">
            <v>La Bonne Sante</v>
          </cell>
          <cell r="D556" t="str">
            <v>% Off</v>
          </cell>
          <cell r="E556">
            <v>46023</v>
          </cell>
          <cell r="F556" t="str">
            <v>31/12/2026</v>
          </cell>
          <cell r="G556" t="str">
            <v>2026 YAHALA Exclusive - Dubai</v>
          </cell>
          <cell r="H556" t="str">
            <v>a0CTi000050nqirMAA</v>
          </cell>
          <cell r="I556" t="str">
            <v>L26DBYAEX</v>
          </cell>
          <cell r="J556" t="str">
            <v>Active</v>
          </cell>
          <cell r="K556">
            <v>46032</v>
          </cell>
          <cell r="L556" t="str">
            <v>Dubai</v>
          </cell>
        </row>
        <row r="557">
          <cell r="A557" t="str">
            <v>X23958312</v>
          </cell>
          <cell r="C557" t="str">
            <v>Maison Sante Clinic</v>
          </cell>
          <cell r="D557" t="str">
            <v>% Off</v>
          </cell>
          <cell r="E557">
            <v>46023</v>
          </cell>
          <cell r="F557" t="str">
            <v>31/12/2026</v>
          </cell>
          <cell r="G557" t="str">
            <v>2026 YAHALA Exclusive - Dubai</v>
          </cell>
          <cell r="H557" t="str">
            <v>a0CTi000050nqirMAA</v>
          </cell>
          <cell r="I557" t="str">
            <v>L26DBYAEX</v>
          </cell>
          <cell r="J557" t="str">
            <v>Active</v>
          </cell>
          <cell r="K557">
            <v>46049</v>
          </cell>
          <cell r="L557" t="str">
            <v>Dubai</v>
          </cell>
        </row>
        <row r="558">
          <cell r="A558" t="str">
            <v>X23957989</v>
          </cell>
          <cell r="C558" t="str">
            <v>Kcal Lunch</v>
          </cell>
          <cell r="D558" t="str">
            <v>Package</v>
          </cell>
          <cell r="E558">
            <v>46023</v>
          </cell>
          <cell r="F558" t="str">
            <v>31/12/2026</v>
          </cell>
          <cell r="G558" t="str">
            <v>2026 YAHALA Exclusive - Dubai</v>
          </cell>
          <cell r="H558" t="str">
            <v>a0CTi000050nqirMAA</v>
          </cell>
          <cell r="I558" t="str">
            <v>L26DBYAEX</v>
          </cell>
          <cell r="J558" t="str">
            <v>Active</v>
          </cell>
          <cell r="K558">
            <v>46034</v>
          </cell>
          <cell r="L558" t="str">
            <v>Dubai</v>
          </cell>
        </row>
        <row r="559">
          <cell r="A559" t="str">
            <v>X23898313</v>
          </cell>
          <cell r="C559" t="str">
            <v>Low Calories</v>
          </cell>
          <cell r="D559" t="str">
            <v>% Off</v>
          </cell>
          <cell r="E559">
            <v>46023</v>
          </cell>
          <cell r="F559" t="str">
            <v>31/12/2026</v>
          </cell>
          <cell r="G559" t="str">
            <v>2026 YAHALA Exclusive - Dubai</v>
          </cell>
          <cell r="H559" t="str">
            <v>a0CTi000050nqirMAA</v>
          </cell>
          <cell r="I559" t="str">
            <v>L26DBYAEX</v>
          </cell>
          <cell r="J559" t="str">
            <v>Active</v>
          </cell>
          <cell r="K559">
            <v>45993</v>
          </cell>
          <cell r="L559" t="str">
            <v>Dubai</v>
          </cell>
        </row>
        <row r="560">
          <cell r="A560" t="str">
            <v>X23955287</v>
          </cell>
          <cell r="C560" t="str">
            <v>Sense Seven</v>
          </cell>
          <cell r="D560" t="str">
            <v>% Off</v>
          </cell>
          <cell r="E560">
            <v>46023</v>
          </cell>
          <cell r="F560" t="str">
            <v>31/12/2026</v>
          </cell>
          <cell r="G560" t="str">
            <v>2026 YAHALA Exclusive - Dubai</v>
          </cell>
          <cell r="H560" t="str">
            <v>a0CTi000050nqirMAA</v>
          </cell>
          <cell r="I560" t="str">
            <v>L26DBYAEX</v>
          </cell>
          <cell r="J560" t="str">
            <v>Active</v>
          </cell>
          <cell r="K560">
            <v>45996</v>
          </cell>
          <cell r="L560" t="str">
            <v>Dubai</v>
          </cell>
        </row>
        <row r="561">
          <cell r="A561" t="str">
            <v>X23953407</v>
          </cell>
          <cell r="C561" t="str">
            <v>Noon SuperMall</v>
          </cell>
          <cell r="D561" t="str">
            <v>% Off</v>
          </cell>
          <cell r="E561">
            <v>46023</v>
          </cell>
          <cell r="F561" t="str">
            <v>31/12/2026</v>
          </cell>
          <cell r="G561" t="str">
            <v>2026 YAHALA Exclusive - Dubai</v>
          </cell>
          <cell r="H561" t="str">
            <v>a0CTi000050nqirMAA</v>
          </cell>
          <cell r="I561" t="str">
            <v>L26DBYAEX</v>
          </cell>
          <cell r="J561" t="str">
            <v>Active</v>
          </cell>
          <cell r="K561">
            <v>45994</v>
          </cell>
          <cell r="L561" t="str">
            <v>Dubai</v>
          </cell>
        </row>
        <row r="562">
          <cell r="A562" t="str">
            <v>X23953407</v>
          </cell>
          <cell r="C562" t="str">
            <v>Noon SuperMall</v>
          </cell>
          <cell r="D562" t="str">
            <v>% Off</v>
          </cell>
          <cell r="E562">
            <v>46023</v>
          </cell>
          <cell r="F562" t="str">
            <v>31/12/2026</v>
          </cell>
          <cell r="G562" t="str">
            <v>2026 YAHALA Exclusive - Dubai</v>
          </cell>
          <cell r="H562" t="str">
            <v>a0CTi000050nqirMAA</v>
          </cell>
          <cell r="I562" t="str">
            <v>L26DBYAEX</v>
          </cell>
          <cell r="J562" t="str">
            <v>Active</v>
          </cell>
          <cell r="K562">
            <v>45994</v>
          </cell>
          <cell r="L562" t="str">
            <v>Dubai</v>
          </cell>
        </row>
        <row r="563">
          <cell r="A563" t="str">
            <v>X23953433</v>
          </cell>
          <cell r="C563" t="str">
            <v>Noon Food</v>
          </cell>
          <cell r="D563" t="str">
            <v>% Off</v>
          </cell>
          <cell r="E563">
            <v>46023</v>
          </cell>
          <cell r="F563" t="str">
            <v>31/12/2026</v>
          </cell>
          <cell r="G563" t="str">
            <v>2026 YAHALA Exclusive - Dubai</v>
          </cell>
          <cell r="H563" t="str">
            <v>a0CTi000050nqirMAA</v>
          </cell>
          <cell r="I563" t="str">
            <v>L26DBYAEX</v>
          </cell>
          <cell r="J563" t="str">
            <v>Active</v>
          </cell>
          <cell r="K563">
            <v>45994</v>
          </cell>
          <cell r="L563" t="str">
            <v>Dubai</v>
          </cell>
        </row>
        <row r="564">
          <cell r="A564" t="str">
            <v>X23953433</v>
          </cell>
          <cell r="C564" t="str">
            <v>Noon Food</v>
          </cell>
          <cell r="D564" t="str">
            <v>% Off</v>
          </cell>
          <cell r="E564">
            <v>46023</v>
          </cell>
          <cell r="F564" t="str">
            <v>31/12/2026</v>
          </cell>
          <cell r="G564" t="str">
            <v>2026 YAHALA Exclusive - Dubai</v>
          </cell>
          <cell r="H564" t="str">
            <v>a0CTi000050nqirMAA</v>
          </cell>
          <cell r="I564" t="str">
            <v>L26DBYAEX</v>
          </cell>
          <cell r="J564" t="str">
            <v>Active</v>
          </cell>
          <cell r="K564">
            <v>45994</v>
          </cell>
          <cell r="L564" t="str">
            <v>Dubai</v>
          </cell>
        </row>
        <row r="565">
          <cell r="A565" t="str">
            <v>X23959045</v>
          </cell>
          <cell r="C565" t="str">
            <v>Maison Santé Pharmacy</v>
          </cell>
          <cell r="D565" t="str">
            <v>% Off</v>
          </cell>
          <cell r="E565">
            <v>46023</v>
          </cell>
          <cell r="F565" t="str">
            <v>31/12/2026</v>
          </cell>
          <cell r="G565" t="str">
            <v>2026 YAHALA Exclusive - Dubai</v>
          </cell>
          <cell r="H565" t="str">
            <v>a0CTi000050nqirMAA</v>
          </cell>
          <cell r="I565" t="str">
            <v>L26DBYAEX</v>
          </cell>
          <cell r="J565" t="str">
            <v>Active</v>
          </cell>
          <cell r="K565">
            <v>46097</v>
          </cell>
          <cell r="L565" t="str">
            <v>Dubai</v>
          </cell>
        </row>
        <row r="566">
          <cell r="A566" t="str">
            <v>X23960390</v>
          </cell>
          <cell r="C566" t="str">
            <v>B180 Caps</v>
          </cell>
          <cell r="D566" t="str">
            <v>% Off</v>
          </cell>
          <cell r="E566">
            <v>46023</v>
          </cell>
          <cell r="F566" t="str">
            <v>31/12/2026</v>
          </cell>
          <cell r="G566" t="str">
            <v>2026 YAHALA Exclusive - Dubai</v>
          </cell>
          <cell r="H566" t="str">
            <v>a0CTi000050nqirMAA</v>
          </cell>
          <cell r="I566" t="str">
            <v>L26DBYAEX</v>
          </cell>
          <cell r="J566" t="str">
            <v>Active</v>
          </cell>
          <cell r="K566">
            <v>46154</v>
          </cell>
          <cell r="L566" t="str">
            <v>Dubai</v>
          </cell>
        </row>
        <row r="567">
          <cell r="A567" t="str">
            <v>X23960733</v>
          </cell>
          <cell r="C567" t="str">
            <v>MARIAM AL REMEITHI</v>
          </cell>
          <cell r="D567" t="str">
            <v>% Off</v>
          </cell>
          <cell r="E567">
            <v>46023</v>
          </cell>
          <cell r="F567" t="str">
            <v>31/12/2026</v>
          </cell>
          <cell r="G567" t="str">
            <v>2026 YAHALA Exclusive - Dubai</v>
          </cell>
          <cell r="H567" t="str">
            <v>a0CTi000050nqirMAA</v>
          </cell>
          <cell r="I567" t="str">
            <v>L26DBYAEX</v>
          </cell>
          <cell r="J567" t="str">
            <v>Active</v>
          </cell>
          <cell r="K567">
            <v>46162</v>
          </cell>
          <cell r="L567" t="str">
            <v>Dubai</v>
          </cell>
        </row>
        <row r="568">
          <cell r="A568" t="str">
            <v>X23960770</v>
          </cell>
          <cell r="C568" t="str">
            <v>JUVE</v>
          </cell>
          <cell r="D568" t="str">
            <v>% Off</v>
          </cell>
          <cell r="E568">
            <v>46023</v>
          </cell>
          <cell r="F568" t="str">
            <v>31/12/2026</v>
          </cell>
          <cell r="G568" t="str">
            <v>2026 YAHALA Exclusive - Dubai</v>
          </cell>
          <cell r="H568" t="str">
            <v>a0CTi000050nqirMAA</v>
          </cell>
          <cell r="I568" t="str">
            <v>L26DBYAEX</v>
          </cell>
          <cell r="J568" t="str">
            <v>Active</v>
          </cell>
          <cell r="K568">
            <v>46164</v>
          </cell>
          <cell r="L568" t="str">
            <v>Dubai</v>
          </cell>
        </row>
        <row r="569">
          <cell r="A569" t="str">
            <v>X23426495</v>
          </cell>
          <cell r="C569" t="str">
            <v>Zaya Nurai Island</v>
          </cell>
          <cell r="D569" t="str">
            <v>Package</v>
          </cell>
          <cell r="E569">
            <v>46023</v>
          </cell>
          <cell r="F569" t="str">
            <v>31/12/2026</v>
          </cell>
          <cell r="G569" t="str">
            <v>2026 YaHala Exclusive Hotels - Abu Dhabi Offers</v>
          </cell>
          <cell r="H569" t="str">
            <v>a0CTi00005KAo7dMAD</v>
          </cell>
          <cell r="I569" t="str">
            <v>L26ADYATR</v>
          </cell>
          <cell r="J569" t="str">
            <v>Active</v>
          </cell>
          <cell r="K569">
            <v>46000</v>
          </cell>
          <cell r="L569" t="str">
            <v>Abu Dhabi</v>
          </cell>
        </row>
        <row r="570">
          <cell r="A570" t="str">
            <v>X037752</v>
          </cell>
          <cell r="C570" t="str">
            <v>Traders Hotel, Qaryat Al Beri, Abu Dhabi</v>
          </cell>
          <cell r="D570" t="str">
            <v>Package</v>
          </cell>
          <cell r="E570">
            <v>46023</v>
          </cell>
          <cell r="F570" t="str">
            <v>31/12/2026</v>
          </cell>
          <cell r="G570" t="str">
            <v>2026 YaHala Exclusive Hotels - Abu Dhabi Offers</v>
          </cell>
          <cell r="H570" t="str">
            <v>a0CTi00005KAo7dMAD</v>
          </cell>
          <cell r="I570" t="str">
            <v>L26ADYATR</v>
          </cell>
          <cell r="J570" t="str">
            <v>Active</v>
          </cell>
          <cell r="K570">
            <v>46000</v>
          </cell>
          <cell r="L570" t="str">
            <v>Abu Dhabi</v>
          </cell>
        </row>
        <row r="571">
          <cell r="A571" t="str">
            <v>X23889024</v>
          </cell>
          <cell r="C571" t="str">
            <v>St Regis Abu Dhabi Corniche</v>
          </cell>
          <cell r="D571" t="str">
            <v>Package</v>
          </cell>
          <cell r="E571">
            <v>46023</v>
          </cell>
          <cell r="F571" t="str">
            <v>31/12/2026</v>
          </cell>
          <cell r="G571" t="str">
            <v>2026 YaHala Exclusive Hotels - Abu Dhabi Offers</v>
          </cell>
          <cell r="H571" t="str">
            <v>a0CTi00005KAo7dMAD</v>
          </cell>
          <cell r="I571" t="str">
            <v>L26ADYATR</v>
          </cell>
          <cell r="J571" t="str">
            <v>Active</v>
          </cell>
          <cell r="K571">
            <v>46000</v>
          </cell>
          <cell r="L571" t="str">
            <v>Abu Dhabi</v>
          </cell>
        </row>
        <row r="572">
          <cell r="A572" t="str">
            <v>X23881198</v>
          </cell>
          <cell r="C572" t="str">
            <v>Marriott Hotel Al Forsan Abu Dhabi</v>
          </cell>
          <cell r="D572" t="str">
            <v>Package</v>
          </cell>
          <cell r="E572">
            <v>46023</v>
          </cell>
          <cell r="F572" t="str">
            <v>31/12/2026</v>
          </cell>
          <cell r="G572" t="str">
            <v>2026 YaHala Exclusive Hotels - Abu Dhabi Offers</v>
          </cell>
          <cell r="H572" t="str">
            <v>a0CTi00005KAo7dMAD</v>
          </cell>
          <cell r="I572" t="str">
            <v>L26ADYATR</v>
          </cell>
          <cell r="J572" t="str">
            <v>Active</v>
          </cell>
          <cell r="K572">
            <v>46000</v>
          </cell>
          <cell r="L572" t="str">
            <v>Abu Dhabi</v>
          </cell>
        </row>
        <row r="573">
          <cell r="A573" t="str">
            <v>X23881207</v>
          </cell>
          <cell r="C573" t="str">
            <v>Four Seasons Hotel Abu Dhabi</v>
          </cell>
          <cell r="D573" t="str">
            <v>Package</v>
          </cell>
          <cell r="E573">
            <v>46023</v>
          </cell>
          <cell r="F573" t="str">
            <v>31/12/2026</v>
          </cell>
          <cell r="G573" t="str">
            <v>2026 YaHala Exclusive Hotels - Abu Dhabi Offers</v>
          </cell>
          <cell r="H573" t="str">
            <v>a0CTi00005KAo7dMAD</v>
          </cell>
          <cell r="I573" t="str">
            <v>L26ADYATR</v>
          </cell>
          <cell r="J573" t="str">
            <v>Active</v>
          </cell>
          <cell r="K573">
            <v>46000</v>
          </cell>
          <cell r="L573" t="str">
            <v>Abu Dhabi</v>
          </cell>
        </row>
        <row r="574">
          <cell r="A574" t="str">
            <v>X23881206</v>
          </cell>
          <cell r="C574" t="str">
            <v>Telal Resort Al Ain</v>
          </cell>
          <cell r="D574" t="str">
            <v>Package</v>
          </cell>
          <cell r="E574">
            <v>46023</v>
          </cell>
          <cell r="F574" t="str">
            <v>31/12/2026</v>
          </cell>
          <cell r="G574" t="str">
            <v>2026 YaHala Exclusive Hotels - Abu Dhabi Offers</v>
          </cell>
          <cell r="H574" t="str">
            <v>a0CTi00005KAo7dMAD</v>
          </cell>
          <cell r="I574" t="str">
            <v>L26ADYATR</v>
          </cell>
          <cell r="J574" t="str">
            <v>Active</v>
          </cell>
          <cell r="K574">
            <v>46000</v>
          </cell>
          <cell r="L574" t="str">
            <v>Abu Dhabi</v>
          </cell>
        </row>
        <row r="575">
          <cell r="A575" t="str">
            <v>X23881307</v>
          </cell>
          <cell r="C575" t="str">
            <v>The St. Regis Saadiyat Island Resort</v>
          </cell>
          <cell r="D575" t="str">
            <v>Package</v>
          </cell>
          <cell r="E575">
            <v>46023</v>
          </cell>
          <cell r="F575" t="str">
            <v>31/12/2026</v>
          </cell>
          <cell r="G575" t="str">
            <v>2026 YaHala Exclusive Hotels - Abu Dhabi Offers</v>
          </cell>
          <cell r="H575" t="str">
            <v>a0CTi00005KAo7dMAD</v>
          </cell>
          <cell r="I575" t="str">
            <v>L26ADYATR</v>
          </cell>
          <cell r="J575" t="str">
            <v>Active</v>
          </cell>
          <cell r="K575">
            <v>46000</v>
          </cell>
          <cell r="L575" t="str">
            <v>Abu Dhabi</v>
          </cell>
        </row>
        <row r="576">
          <cell r="A576" t="str">
            <v>X23885675</v>
          </cell>
          <cell r="C576" t="str">
            <v>Rixos Saadiyat Island</v>
          </cell>
          <cell r="D576" t="str">
            <v>Package</v>
          </cell>
          <cell r="E576">
            <v>46023</v>
          </cell>
          <cell r="F576" t="str">
            <v>31/12/2026</v>
          </cell>
          <cell r="G576" t="str">
            <v>2026 YaHala Exclusive Hotels - Abu Dhabi Offers</v>
          </cell>
          <cell r="H576" t="str">
            <v>a0CTi00005KAo7dMAD</v>
          </cell>
          <cell r="I576" t="str">
            <v>L26ADYATR</v>
          </cell>
          <cell r="J576" t="str">
            <v>Active</v>
          </cell>
          <cell r="K576">
            <v>46000</v>
          </cell>
          <cell r="L576" t="str">
            <v>Abu Dhabi</v>
          </cell>
        </row>
        <row r="577">
          <cell r="A577" t="str">
            <v>X23172625</v>
          </cell>
          <cell r="C577" t="str">
            <v>Bab Al Shams Desert Resort &amp; Spa</v>
          </cell>
          <cell r="D577" t="str">
            <v>Package</v>
          </cell>
          <cell r="E577">
            <v>46023</v>
          </cell>
          <cell r="F577" t="str">
            <v>31/12/2026</v>
          </cell>
          <cell r="G577" t="str">
            <v>2026 YaHala Exclusive Hotels - Abu Dhabi Offers</v>
          </cell>
          <cell r="H577" t="str">
            <v>a0CTi00005KAo7dMAD</v>
          </cell>
          <cell r="I577" t="str">
            <v>L26ADYATR</v>
          </cell>
          <cell r="J577" t="str">
            <v>Active</v>
          </cell>
          <cell r="K577">
            <v>46000</v>
          </cell>
          <cell r="L577" t="str">
            <v>Abu Dhabi</v>
          </cell>
        </row>
        <row r="578">
          <cell r="A578" t="str">
            <v>X23091536</v>
          </cell>
          <cell r="C578" t="str">
            <v>Rosewood Abu Dhabi</v>
          </cell>
          <cell r="D578" t="str">
            <v>Package</v>
          </cell>
          <cell r="E578">
            <v>46023</v>
          </cell>
          <cell r="F578" t="str">
            <v>31/12/2026</v>
          </cell>
          <cell r="G578" t="str">
            <v>2026 YaHala Exclusive Hotels - Abu Dhabi Offers</v>
          </cell>
          <cell r="H578" t="str">
            <v>a0CTi00005KAo7dMAD</v>
          </cell>
          <cell r="I578" t="str">
            <v>L26ADYATR</v>
          </cell>
          <cell r="J578" t="str">
            <v>Active</v>
          </cell>
          <cell r="K578">
            <v>46000</v>
          </cell>
          <cell r="L578" t="str">
            <v>Abu Dhabi</v>
          </cell>
        </row>
        <row r="579">
          <cell r="A579" t="str">
            <v>X23881766</v>
          </cell>
          <cell r="C579" t="str">
            <v>Fairmont Makkah Clock Royal Tower</v>
          </cell>
          <cell r="D579" t="str">
            <v>Package</v>
          </cell>
          <cell r="E579">
            <v>46023</v>
          </cell>
          <cell r="F579" t="str">
            <v>31/12/2026</v>
          </cell>
          <cell r="G579" t="str">
            <v>2026 YaHala Exclusive Hotels - Abu Dhabi Offers</v>
          </cell>
          <cell r="H579" t="str">
            <v>a0CTi00005KAo7dMAD</v>
          </cell>
          <cell r="I579" t="str">
            <v>L26ADYATR</v>
          </cell>
          <cell r="J579" t="str">
            <v>Active</v>
          </cell>
          <cell r="K579">
            <v>46000</v>
          </cell>
          <cell r="L579" t="str">
            <v>Abu Dhabi</v>
          </cell>
        </row>
        <row r="580">
          <cell r="A580" t="str">
            <v>X23930023</v>
          </cell>
          <cell r="C580" t="str">
            <v>Fairmont Bab Al Bahr - Yahala</v>
          </cell>
          <cell r="D580" t="str">
            <v>Package</v>
          </cell>
          <cell r="E580">
            <v>46023</v>
          </cell>
          <cell r="F580" t="str">
            <v>31/12/2026</v>
          </cell>
          <cell r="G580" t="str">
            <v>2026 YaHala Exclusive Hotels - Abu Dhabi Offers</v>
          </cell>
          <cell r="H580" t="str">
            <v>a0CTi00005KAo7dMAD</v>
          </cell>
          <cell r="I580" t="str">
            <v>L26ADYATR</v>
          </cell>
          <cell r="J580" t="str">
            <v>Active</v>
          </cell>
          <cell r="K580">
            <v>46030</v>
          </cell>
          <cell r="L580" t="str">
            <v>Abu Dhabi</v>
          </cell>
        </row>
        <row r="581">
          <cell r="A581" t="str">
            <v>X23930030</v>
          </cell>
          <cell r="C581" t="str">
            <v>Qasr Al Sarab Desert Resort by Anantara - Yahala</v>
          </cell>
          <cell r="D581" t="str">
            <v>Package</v>
          </cell>
          <cell r="E581">
            <v>46023</v>
          </cell>
          <cell r="F581" t="str">
            <v>31/12/2026</v>
          </cell>
          <cell r="G581" t="str">
            <v>2026 YaHala Exclusive Hotels - Abu Dhabi Offers</v>
          </cell>
          <cell r="H581" t="str">
            <v>a0CTi00005KAo7dMAD</v>
          </cell>
          <cell r="I581" t="str">
            <v>L26ADYATR</v>
          </cell>
          <cell r="J581" t="str">
            <v>Active</v>
          </cell>
          <cell r="K581">
            <v>46030</v>
          </cell>
          <cell r="L581" t="str">
            <v>Abu Dhabi</v>
          </cell>
        </row>
        <row r="582">
          <cell r="A582" t="str">
            <v>X23930026</v>
          </cell>
          <cell r="C582" t="str">
            <v>Shangri-La Hotel-Qaryat Al Beri - Yahala</v>
          </cell>
          <cell r="D582" t="str">
            <v>Package</v>
          </cell>
          <cell r="E582">
            <v>46023</v>
          </cell>
          <cell r="F582" t="str">
            <v>31/12/2026</v>
          </cell>
          <cell r="G582" t="str">
            <v>2026 YaHala Exclusive Hotels - Abu Dhabi Offers</v>
          </cell>
          <cell r="H582" t="str">
            <v>a0CTi00005KAo7dMAD</v>
          </cell>
          <cell r="I582" t="str">
            <v>L26ADYATR</v>
          </cell>
          <cell r="J582" t="str">
            <v>Active</v>
          </cell>
          <cell r="K582">
            <v>46030</v>
          </cell>
          <cell r="L582" t="str">
            <v>Abu Dhabi</v>
          </cell>
        </row>
        <row r="583">
          <cell r="A583" t="str">
            <v>X23930025</v>
          </cell>
          <cell r="C583" t="str">
            <v>Emirates Park Resort - Yahala</v>
          </cell>
          <cell r="D583" t="str">
            <v>Package</v>
          </cell>
          <cell r="E583">
            <v>46023</v>
          </cell>
          <cell r="F583" t="str">
            <v>31/12/2026</v>
          </cell>
          <cell r="G583" t="str">
            <v>2026 YaHala Exclusive Hotels - Abu Dhabi Offers</v>
          </cell>
          <cell r="H583" t="str">
            <v>a0CTi00005KAo7dMAD</v>
          </cell>
          <cell r="I583" t="str">
            <v>L26ADYATR</v>
          </cell>
          <cell r="J583" t="str">
            <v>Active</v>
          </cell>
          <cell r="K583">
            <v>46030</v>
          </cell>
          <cell r="L583" t="str">
            <v>Abu Dhabi</v>
          </cell>
        </row>
        <row r="584">
          <cell r="A584" t="str">
            <v>X037752</v>
          </cell>
          <cell r="C584" t="str">
            <v>Traders Hotel, Qaryat Al Beri, Abu Dhabi</v>
          </cell>
          <cell r="D584" t="str">
            <v>Package</v>
          </cell>
          <cell r="E584">
            <v>46023</v>
          </cell>
          <cell r="F584" t="str">
            <v>31/12/2026</v>
          </cell>
          <cell r="G584" t="str">
            <v>2026 YaHala Exclusive Hotels - Abu Dhabi Offers</v>
          </cell>
          <cell r="H584" t="str">
            <v>a0CTi00005KAo7dMAD</v>
          </cell>
          <cell r="I584" t="str">
            <v>L26ADYATR</v>
          </cell>
          <cell r="J584" t="str">
            <v>Active</v>
          </cell>
          <cell r="K584">
            <v>46031</v>
          </cell>
          <cell r="L584" t="str">
            <v>Abu Dhabi</v>
          </cell>
        </row>
        <row r="585">
          <cell r="A585" t="str">
            <v>X23888421</v>
          </cell>
          <cell r="C585" t="str">
            <v>Conrad Abu Dhabi Etihad Tower</v>
          </cell>
          <cell r="D585" t="str">
            <v>Package</v>
          </cell>
          <cell r="E585">
            <v>46023</v>
          </cell>
          <cell r="F585" t="str">
            <v>31/12/2026</v>
          </cell>
          <cell r="G585" t="str">
            <v>2026 YaHala Exclusive Hotels - Abu Dhabi Offers</v>
          </cell>
          <cell r="H585" t="str">
            <v>a0CTi00005KAo7dMAD</v>
          </cell>
          <cell r="I585" t="str">
            <v>L26ADYATR</v>
          </cell>
          <cell r="J585" t="str">
            <v>Active</v>
          </cell>
          <cell r="K585">
            <v>45999</v>
          </cell>
          <cell r="L585" t="str">
            <v>Abu Dhabi</v>
          </cell>
        </row>
        <row r="586">
          <cell r="A586" t="str">
            <v>X23891552</v>
          </cell>
          <cell r="C586" t="str">
            <v>Saadiyat Rotana Resorts &amp; Villas</v>
          </cell>
          <cell r="D586" t="str">
            <v>Package</v>
          </cell>
          <cell r="E586">
            <v>46023</v>
          </cell>
          <cell r="F586" t="str">
            <v>31/12/2026</v>
          </cell>
          <cell r="G586" t="str">
            <v>2026 YaHala Exclusive Hotels - Dubai Offers</v>
          </cell>
          <cell r="H586" t="str">
            <v>a0CTi00005KAoAiMAL</v>
          </cell>
          <cell r="I586" t="str">
            <v>L26DBYATR</v>
          </cell>
          <cell r="J586" t="str">
            <v>Active</v>
          </cell>
          <cell r="K586">
            <v>46000</v>
          </cell>
          <cell r="L586" t="str">
            <v>Dubai</v>
          </cell>
        </row>
        <row r="587">
          <cell r="A587" t="str">
            <v>X23174627</v>
          </cell>
          <cell r="C587" t="str">
            <v>Jumeirah Zabeel Saray</v>
          </cell>
          <cell r="D587" t="str">
            <v>Package</v>
          </cell>
          <cell r="E587">
            <v>46023</v>
          </cell>
          <cell r="F587" t="str">
            <v>31/12/2026</v>
          </cell>
          <cell r="G587" t="str">
            <v>2026 YaHala Exclusive Hotels - Dubai Offers</v>
          </cell>
          <cell r="H587" t="str">
            <v>a0CTi00005KAoAiMAL</v>
          </cell>
          <cell r="I587" t="str">
            <v>L26DBYATR</v>
          </cell>
          <cell r="J587" t="str">
            <v>Active</v>
          </cell>
          <cell r="K587">
            <v>46001</v>
          </cell>
          <cell r="L587" t="str">
            <v>Dubai</v>
          </cell>
        </row>
        <row r="588">
          <cell r="A588" t="str">
            <v>X23174628</v>
          </cell>
          <cell r="C588" t="str">
            <v>Jumeirah Emirates Towers</v>
          </cell>
          <cell r="D588" t="str">
            <v>Package</v>
          </cell>
          <cell r="E588">
            <v>46023</v>
          </cell>
          <cell r="F588" t="str">
            <v>31/12/2026</v>
          </cell>
          <cell r="G588" t="str">
            <v>2026 YaHala Exclusive Hotels - Dubai Offers</v>
          </cell>
          <cell r="H588" t="str">
            <v>a0CTi00005KAoAiMAL</v>
          </cell>
          <cell r="I588" t="str">
            <v>L26DBYATR</v>
          </cell>
          <cell r="J588" t="str">
            <v>Active</v>
          </cell>
          <cell r="K588">
            <v>46001</v>
          </cell>
          <cell r="L588" t="str">
            <v>Dubai</v>
          </cell>
        </row>
        <row r="589">
          <cell r="A589" t="str">
            <v>X23893606</v>
          </cell>
          <cell r="C589" t="str">
            <v>Mandarin Oriental Munich</v>
          </cell>
          <cell r="D589" t="str">
            <v>Package</v>
          </cell>
          <cell r="E589">
            <v>46023</v>
          </cell>
          <cell r="F589" t="str">
            <v>31/12/2026</v>
          </cell>
          <cell r="G589" t="str">
            <v>2026 YaHala Exclusive Hotels - Dubai Offers</v>
          </cell>
          <cell r="H589" t="str">
            <v>a0CTi00005KAoAiMAL</v>
          </cell>
          <cell r="I589" t="str">
            <v>L26DBYATR</v>
          </cell>
          <cell r="J589" t="str">
            <v>Active</v>
          </cell>
          <cell r="K589">
            <v>46001</v>
          </cell>
          <cell r="L589" t="str">
            <v>Dubai</v>
          </cell>
        </row>
        <row r="590">
          <cell r="A590" t="str">
            <v>X23881314</v>
          </cell>
          <cell r="C590" t="str">
            <v>The Bulgari Resort Dubai</v>
          </cell>
          <cell r="D590" t="str">
            <v>Package</v>
          </cell>
          <cell r="E590">
            <v>46023</v>
          </cell>
          <cell r="F590" t="str">
            <v>31/12/2026</v>
          </cell>
          <cell r="G590" t="str">
            <v>2026 YaHala Exclusive Hotels - Dubai Offers</v>
          </cell>
          <cell r="H590" t="str">
            <v>a0CTi00005KAoAiMAL</v>
          </cell>
          <cell r="I590" t="str">
            <v>L26DBYATR</v>
          </cell>
          <cell r="J590" t="str">
            <v>Active</v>
          </cell>
          <cell r="K590">
            <v>46001</v>
          </cell>
          <cell r="L590" t="str">
            <v>Dubai</v>
          </cell>
        </row>
        <row r="591">
          <cell r="A591" t="str">
            <v>X23881389</v>
          </cell>
          <cell r="C591" t="str">
            <v>Mandarin Oriental Jumeira Dubai</v>
          </cell>
          <cell r="D591" t="str">
            <v>Package</v>
          </cell>
          <cell r="E591">
            <v>46023</v>
          </cell>
          <cell r="F591" t="str">
            <v>31/12/2026</v>
          </cell>
          <cell r="G591" t="str">
            <v>2026 YaHala Exclusive Hotels - Dubai Offers</v>
          </cell>
          <cell r="H591" t="str">
            <v>a0CTi00005KAoAiMAL</v>
          </cell>
          <cell r="I591" t="str">
            <v>L26DBYATR</v>
          </cell>
          <cell r="J591" t="str">
            <v>Active</v>
          </cell>
          <cell r="K591">
            <v>46001</v>
          </cell>
          <cell r="L591" t="str">
            <v>Dubai</v>
          </cell>
        </row>
        <row r="592">
          <cell r="A592" t="str">
            <v>X23888419</v>
          </cell>
          <cell r="C592" t="str">
            <v>Jumeirah at Saadiyat Island Resort</v>
          </cell>
          <cell r="D592" t="str">
            <v>Package</v>
          </cell>
          <cell r="E592">
            <v>46023</v>
          </cell>
          <cell r="F592" t="str">
            <v>31/12/2026</v>
          </cell>
          <cell r="G592" t="str">
            <v>2026 YaHala Exclusive Hotels - Dubai Offers</v>
          </cell>
          <cell r="H592" t="str">
            <v>a0CTi00005KAoAiMAL</v>
          </cell>
          <cell r="I592" t="str">
            <v>L26DBYATR</v>
          </cell>
          <cell r="J592" t="str">
            <v>Active</v>
          </cell>
          <cell r="K592">
            <v>46001</v>
          </cell>
          <cell r="L592" t="str">
            <v>Dubai</v>
          </cell>
        </row>
        <row r="593">
          <cell r="A593" t="str">
            <v>X23881339</v>
          </cell>
          <cell r="C593" t="str">
            <v>Melia Desert Palm, Dubai</v>
          </cell>
          <cell r="D593" t="str">
            <v>Package</v>
          </cell>
          <cell r="E593">
            <v>46023</v>
          </cell>
          <cell r="F593" t="str">
            <v>31/12/2026</v>
          </cell>
          <cell r="G593" t="str">
            <v>2026 YaHala Exclusive Hotels - Dubai Offers</v>
          </cell>
          <cell r="H593" t="str">
            <v>a0CTi00005KAoAiMAL</v>
          </cell>
          <cell r="I593" t="str">
            <v>L26DBYATR</v>
          </cell>
          <cell r="J593" t="str">
            <v>Active</v>
          </cell>
          <cell r="K593">
            <v>46001</v>
          </cell>
          <cell r="L593" t="str">
            <v>Dubai</v>
          </cell>
        </row>
        <row r="594">
          <cell r="A594" t="str">
            <v>X23174663</v>
          </cell>
          <cell r="C594" t="str">
            <v>Kempinski Hotel &amp; Residences Palm Jumeirah</v>
          </cell>
          <cell r="D594" t="str">
            <v>Package</v>
          </cell>
          <cell r="E594">
            <v>46023</v>
          </cell>
          <cell r="F594" t="str">
            <v>31/12/2026</v>
          </cell>
          <cell r="G594" t="str">
            <v>2026 YaHala Exclusive Hotels - Dubai Offers</v>
          </cell>
          <cell r="H594" t="str">
            <v>a0CTi00005KAoAiMAL</v>
          </cell>
          <cell r="I594" t="str">
            <v>L26DBYATR</v>
          </cell>
          <cell r="J594" t="str">
            <v>Active</v>
          </cell>
          <cell r="K594">
            <v>46001</v>
          </cell>
          <cell r="L594" t="str">
            <v>Dubai</v>
          </cell>
        </row>
        <row r="595">
          <cell r="A595" t="str">
            <v>X23891910</v>
          </cell>
          <cell r="C595" t="str">
            <v>V Hotel Dubai, Curio Collection by Hilton</v>
          </cell>
          <cell r="D595" t="str">
            <v>Package</v>
          </cell>
          <cell r="E595">
            <v>46023</v>
          </cell>
          <cell r="F595" t="str">
            <v>31/12/2026</v>
          </cell>
          <cell r="G595" t="str">
            <v>2026 YaHala Exclusive Hotels - Dubai Offers</v>
          </cell>
          <cell r="H595" t="str">
            <v>a0CTi00005KAoAiMAL</v>
          </cell>
          <cell r="I595" t="str">
            <v>L26DBYATR</v>
          </cell>
          <cell r="J595" t="str">
            <v>Active</v>
          </cell>
          <cell r="K595">
            <v>46001</v>
          </cell>
          <cell r="L595" t="str">
            <v>Dubai</v>
          </cell>
        </row>
        <row r="596">
          <cell r="A596" t="str">
            <v>X23914722</v>
          </cell>
          <cell r="C596" t="str">
            <v>SLS Dubai Hotel &amp; Residences</v>
          </cell>
          <cell r="D596" t="str">
            <v>Package</v>
          </cell>
          <cell r="E596">
            <v>46023</v>
          </cell>
          <cell r="F596" t="str">
            <v>31/12/2026</v>
          </cell>
          <cell r="G596" t="str">
            <v>2026 YaHala Exclusive Hotels - Dubai Offers</v>
          </cell>
          <cell r="H596" t="str">
            <v>a0CTi00005KAoAiMAL</v>
          </cell>
          <cell r="I596" t="str">
            <v>L26DBYATR</v>
          </cell>
          <cell r="J596" t="str">
            <v>Active</v>
          </cell>
          <cell r="K596">
            <v>46001</v>
          </cell>
          <cell r="L596" t="str">
            <v>Dubai</v>
          </cell>
        </row>
        <row r="597">
          <cell r="A597" t="str">
            <v>X23239433</v>
          </cell>
          <cell r="C597" t="str">
            <v>The Oberoi Ajman</v>
          </cell>
          <cell r="D597" t="str">
            <v>Package</v>
          </cell>
          <cell r="E597">
            <v>46023</v>
          </cell>
          <cell r="F597" t="str">
            <v>31/12/2026</v>
          </cell>
          <cell r="G597" t="str">
            <v>2026 YaHala Exclusive Hotels - Dubai Offers</v>
          </cell>
          <cell r="H597" t="str">
            <v>a0CTi00005KAoAiMAL</v>
          </cell>
          <cell r="I597" t="str">
            <v>L26DBYATR</v>
          </cell>
          <cell r="J597" t="str">
            <v>Active</v>
          </cell>
          <cell r="K597">
            <v>46001</v>
          </cell>
          <cell r="L597" t="str">
            <v>Dubai</v>
          </cell>
        </row>
        <row r="598">
          <cell r="A598" t="str">
            <v>X23926690</v>
          </cell>
          <cell r="C598" t="str">
            <v>The Dubai EDITION</v>
          </cell>
          <cell r="D598" t="str">
            <v>Package</v>
          </cell>
          <cell r="E598">
            <v>46023</v>
          </cell>
          <cell r="F598" t="str">
            <v>31/12/2026</v>
          </cell>
          <cell r="G598" t="str">
            <v>2026 YaHala Exclusive Hotels - Dubai Offers</v>
          </cell>
          <cell r="H598" t="str">
            <v>a0CTi00005KAoAiMAL</v>
          </cell>
          <cell r="I598" t="str">
            <v>L26DBYATR</v>
          </cell>
          <cell r="J598" t="str">
            <v>Active</v>
          </cell>
          <cell r="K598">
            <v>46001</v>
          </cell>
          <cell r="L598" t="str">
            <v>Dubai</v>
          </cell>
        </row>
        <row r="599">
          <cell r="A599" t="str">
            <v>X23881767</v>
          </cell>
          <cell r="C599" t="str">
            <v>Raffles Makkah</v>
          </cell>
          <cell r="D599" t="str">
            <v>Package</v>
          </cell>
          <cell r="E599">
            <v>46023</v>
          </cell>
          <cell r="F599" t="str">
            <v>31/12/2026</v>
          </cell>
          <cell r="G599" t="str">
            <v>2026 YaHala Exclusive Hotels - Dubai Offers</v>
          </cell>
          <cell r="H599" t="str">
            <v>a0CTi00005KAoAiMAL</v>
          </cell>
          <cell r="I599" t="str">
            <v>L26DBYATR</v>
          </cell>
          <cell r="J599" t="str">
            <v>Active</v>
          </cell>
          <cell r="K599">
            <v>46001</v>
          </cell>
          <cell r="L599" t="str">
            <v>Dubai</v>
          </cell>
        </row>
        <row r="600">
          <cell r="A600" t="str">
            <v>X23891911</v>
          </cell>
          <cell r="C600" t="str">
            <v>Hilton Dubai Al Habtoor City</v>
          </cell>
          <cell r="D600" t="str">
            <v>Package</v>
          </cell>
          <cell r="E600">
            <v>46023</v>
          </cell>
          <cell r="F600" t="str">
            <v>31/12/2026</v>
          </cell>
          <cell r="G600" t="str">
            <v>2026 YaHala Exclusive Hotels - Dubai Offers</v>
          </cell>
          <cell r="H600" t="str">
            <v>a0CTi00005KAoAiMAL</v>
          </cell>
          <cell r="I600" t="str">
            <v>L26DBYATR</v>
          </cell>
          <cell r="J600" t="str">
            <v>Active</v>
          </cell>
          <cell r="K600">
            <v>46001</v>
          </cell>
          <cell r="L600" t="str">
            <v>Dubai</v>
          </cell>
        </row>
        <row r="601">
          <cell r="A601" t="str">
            <v>X23881258</v>
          </cell>
          <cell r="C601" t="str">
            <v>La Ville Hotel &amp; Suites</v>
          </cell>
          <cell r="D601" t="str">
            <v>Package</v>
          </cell>
          <cell r="E601">
            <v>46023</v>
          </cell>
          <cell r="F601" t="str">
            <v>31/12/2026</v>
          </cell>
          <cell r="G601" t="str">
            <v>2026 YaHala Exclusive Hotels - Dubai Offers</v>
          </cell>
          <cell r="H601" t="str">
            <v>a0CTi00005KAoAiMAL</v>
          </cell>
          <cell r="I601" t="str">
            <v>L26DBYATR</v>
          </cell>
          <cell r="J601" t="str">
            <v>Active</v>
          </cell>
          <cell r="K601">
            <v>46001</v>
          </cell>
          <cell r="L601" t="str">
            <v>Dubai</v>
          </cell>
        </row>
        <row r="602">
          <cell r="A602" t="str">
            <v>X23885673</v>
          </cell>
          <cell r="C602" t="str">
            <v>Rixos Premium Dubai JBR</v>
          </cell>
          <cell r="D602" t="str">
            <v>Package</v>
          </cell>
          <cell r="E602">
            <v>46023</v>
          </cell>
          <cell r="F602" t="str">
            <v>31/12/2026</v>
          </cell>
          <cell r="G602" t="str">
            <v>2026 YaHala Exclusive Hotels - Dubai Offers</v>
          </cell>
          <cell r="H602" t="str">
            <v>a0CTi00005KAoAiMAL</v>
          </cell>
          <cell r="I602" t="str">
            <v>L26DBYATR</v>
          </cell>
          <cell r="J602" t="str">
            <v>Active</v>
          </cell>
          <cell r="K602">
            <v>46001</v>
          </cell>
          <cell r="L602" t="str">
            <v>Dubai</v>
          </cell>
        </row>
        <row r="603">
          <cell r="A603" t="str">
            <v>X23888416</v>
          </cell>
          <cell r="C603" t="str">
            <v>Jumeirah Al Qasr Hotel</v>
          </cell>
          <cell r="D603" t="str">
            <v>Package</v>
          </cell>
          <cell r="E603">
            <v>46023</v>
          </cell>
          <cell r="F603" t="str">
            <v>31/12/2026</v>
          </cell>
          <cell r="G603" t="str">
            <v>2026 YaHala Exclusive Hotels - Dubai Offers</v>
          </cell>
          <cell r="H603" t="str">
            <v>a0CTi00005KAoAiMAL</v>
          </cell>
          <cell r="I603" t="str">
            <v>L26DBYATR</v>
          </cell>
          <cell r="J603" t="str">
            <v>Active</v>
          </cell>
          <cell r="K603">
            <v>46001</v>
          </cell>
          <cell r="L603" t="str">
            <v>Dubai</v>
          </cell>
        </row>
        <row r="604">
          <cell r="A604" t="str">
            <v>X23881587</v>
          </cell>
          <cell r="C604" t="str">
            <v>InterContinental Fujairah Resort</v>
          </cell>
          <cell r="D604" t="str">
            <v>Package</v>
          </cell>
          <cell r="E604">
            <v>46023</v>
          </cell>
          <cell r="F604" t="str">
            <v>31/12/2026</v>
          </cell>
          <cell r="G604" t="str">
            <v>2026 YaHala Exclusive Hotels - Dubai Offers</v>
          </cell>
          <cell r="H604" t="str">
            <v>a0CTi00005KAoAiMAL</v>
          </cell>
          <cell r="I604" t="str">
            <v>L26DBYATR</v>
          </cell>
          <cell r="J604" t="str">
            <v>Active</v>
          </cell>
          <cell r="K604">
            <v>46001</v>
          </cell>
          <cell r="L604" t="str">
            <v>Dubai</v>
          </cell>
        </row>
        <row r="605">
          <cell r="A605" t="str">
            <v>X23888414</v>
          </cell>
          <cell r="C605" t="str">
            <v>Jumeirah Beach Hotel</v>
          </cell>
          <cell r="D605" t="str">
            <v>Package</v>
          </cell>
          <cell r="E605">
            <v>46023</v>
          </cell>
          <cell r="F605" t="str">
            <v>31/12/2026</v>
          </cell>
          <cell r="G605" t="str">
            <v>2026 YaHala Exclusive Hotels - Dubai Offers</v>
          </cell>
          <cell r="H605" t="str">
            <v>a0CTi00005KAoAiMAL</v>
          </cell>
          <cell r="I605" t="str">
            <v>L26DBYATR</v>
          </cell>
          <cell r="J605" t="str">
            <v>Active</v>
          </cell>
          <cell r="K605">
            <v>46001</v>
          </cell>
          <cell r="L605" t="str">
            <v>Dubai</v>
          </cell>
        </row>
        <row r="606">
          <cell r="A606" t="str">
            <v>X23888415</v>
          </cell>
          <cell r="C606" t="str">
            <v>Jumeirah Mina A'Salam</v>
          </cell>
          <cell r="D606" t="str">
            <v>Package</v>
          </cell>
          <cell r="E606">
            <v>46023</v>
          </cell>
          <cell r="F606" t="str">
            <v>31/12/2026</v>
          </cell>
          <cell r="G606" t="str">
            <v>2026 YaHala Exclusive Hotels - Dubai Offers</v>
          </cell>
          <cell r="H606" t="str">
            <v>a0CTi00005KAoAiMAL</v>
          </cell>
          <cell r="I606" t="str">
            <v>L26DBYATR</v>
          </cell>
          <cell r="J606" t="str">
            <v>Active</v>
          </cell>
          <cell r="K606">
            <v>46001</v>
          </cell>
          <cell r="L606" t="str">
            <v>Dubai</v>
          </cell>
        </row>
        <row r="607">
          <cell r="A607" t="str">
            <v>X23174671</v>
          </cell>
          <cell r="C607" t="str">
            <v>Kempinski Hotel Mall of the Emirates</v>
          </cell>
          <cell r="D607" t="str">
            <v>Package</v>
          </cell>
          <cell r="E607">
            <v>46023</v>
          </cell>
          <cell r="F607" t="str">
            <v>31/12/2026</v>
          </cell>
          <cell r="G607" t="str">
            <v>2026 YaHala Exclusive Hotels - Dubai Offers</v>
          </cell>
          <cell r="H607" t="str">
            <v>a0CTi00005KAoAiMAL</v>
          </cell>
          <cell r="I607" t="str">
            <v>L26DBYATR</v>
          </cell>
          <cell r="J607" t="str">
            <v>Active</v>
          </cell>
          <cell r="K607">
            <v>46001</v>
          </cell>
          <cell r="L607" t="str">
            <v>Dubai</v>
          </cell>
        </row>
        <row r="608">
          <cell r="A608" t="str">
            <v>X23881341</v>
          </cell>
          <cell r="C608" t="str">
            <v>W Dubai The Palm</v>
          </cell>
          <cell r="D608" t="str">
            <v>Package</v>
          </cell>
          <cell r="E608">
            <v>46023</v>
          </cell>
          <cell r="F608" t="str">
            <v>31/12/2026</v>
          </cell>
          <cell r="G608" t="str">
            <v>2026 YaHala Exclusive Hotels - Dubai Offers</v>
          </cell>
          <cell r="H608" t="str">
            <v>a0CTi00005KAoAiMAL</v>
          </cell>
          <cell r="I608" t="str">
            <v>L26DBYATR</v>
          </cell>
          <cell r="J608" t="str">
            <v>Active</v>
          </cell>
          <cell r="K608">
            <v>46020</v>
          </cell>
          <cell r="L608" t="str">
            <v>Dubai</v>
          </cell>
        </row>
        <row r="609">
          <cell r="A609" t="str">
            <v>X23930485</v>
          </cell>
          <cell r="C609" t="str">
            <v>Nirvana Travel and Tourism - Yahala</v>
          </cell>
          <cell r="D609" t="str">
            <v>Package</v>
          </cell>
          <cell r="E609">
            <v>46023</v>
          </cell>
          <cell r="F609" t="str">
            <v>31/12/2026</v>
          </cell>
          <cell r="G609" t="str">
            <v>2026 YaHala Exclusive Hotels - Dubai Offers</v>
          </cell>
          <cell r="H609" t="str">
            <v>a0CTi00005KAoAiMAL</v>
          </cell>
          <cell r="I609" t="str">
            <v>L26DBYATR</v>
          </cell>
          <cell r="J609" t="str">
            <v>Active</v>
          </cell>
          <cell r="K609">
            <v>46030</v>
          </cell>
          <cell r="L609" t="str">
            <v>Dubai</v>
          </cell>
        </row>
        <row r="610">
          <cell r="A610" t="str">
            <v>X23881215</v>
          </cell>
          <cell r="C610" t="str">
            <v>DoubleTree by Hilton Resort &amp; Spa Marjan Island - Yahala</v>
          </cell>
          <cell r="D610" t="str">
            <v>Package</v>
          </cell>
          <cell r="E610">
            <v>46023</v>
          </cell>
          <cell r="F610" t="str">
            <v>31/12/2026</v>
          </cell>
          <cell r="G610" t="str">
            <v>2026 YaHala Exclusive Hotels - Dubai Offers</v>
          </cell>
          <cell r="H610" t="str">
            <v>a0CTi00005KAoAiMAL</v>
          </cell>
          <cell r="I610" t="str">
            <v>L26DBYATR</v>
          </cell>
          <cell r="J610" t="str">
            <v>Active</v>
          </cell>
          <cell r="K610">
            <v>46030</v>
          </cell>
          <cell r="L610" t="str">
            <v>Dubai</v>
          </cell>
        </row>
        <row r="611">
          <cell r="A611" t="str">
            <v>X23941966</v>
          </cell>
          <cell r="C611" t="str">
            <v>Rove Dubai Marina</v>
          </cell>
          <cell r="D611" t="str">
            <v>Package</v>
          </cell>
          <cell r="E611">
            <v>46023</v>
          </cell>
          <cell r="F611" t="str">
            <v>31/12/2026</v>
          </cell>
          <cell r="G611" t="str">
            <v>2026 YaHala Exclusive Hotels - Dubai Offers</v>
          </cell>
          <cell r="H611" t="str">
            <v>a0CTi00005KAoAiMAL</v>
          </cell>
          <cell r="I611" t="str">
            <v>L26DBYATR</v>
          </cell>
          <cell r="J611" t="str">
            <v>Active</v>
          </cell>
          <cell r="K611">
            <v>46030</v>
          </cell>
          <cell r="L611" t="str">
            <v>Dubai</v>
          </cell>
        </row>
        <row r="612">
          <cell r="A612" t="str">
            <v>X23930450</v>
          </cell>
          <cell r="C612" t="str">
            <v>Atlantis - The Palm - Yahala</v>
          </cell>
          <cell r="D612" t="str">
            <v>Package</v>
          </cell>
          <cell r="E612">
            <v>46023</v>
          </cell>
          <cell r="F612" t="str">
            <v>31/12/2026</v>
          </cell>
          <cell r="G612" t="str">
            <v>2026 YaHala Exclusive Hotels - Dubai Offers</v>
          </cell>
          <cell r="H612" t="str">
            <v>a0CTi00005KAoAiMAL</v>
          </cell>
          <cell r="I612" t="str">
            <v>L26DBYATR</v>
          </cell>
          <cell r="J612" t="str">
            <v>Active</v>
          </cell>
          <cell r="K612">
            <v>46030</v>
          </cell>
          <cell r="L612" t="str">
            <v>Dubai</v>
          </cell>
        </row>
        <row r="613">
          <cell r="A613" t="str">
            <v>X23941952</v>
          </cell>
          <cell r="C613" t="str">
            <v>Vida Hotels &amp; Resorts</v>
          </cell>
          <cell r="D613" t="str">
            <v>Package</v>
          </cell>
          <cell r="E613">
            <v>46023</v>
          </cell>
          <cell r="F613" t="str">
            <v>31/12/2026</v>
          </cell>
          <cell r="G613" t="str">
            <v>2026 YaHala Exclusive Hotels - Dubai Offers</v>
          </cell>
          <cell r="H613" t="str">
            <v>a0CTi00005KAoAiMAL</v>
          </cell>
          <cell r="I613" t="str">
            <v>L26DBYATR</v>
          </cell>
          <cell r="J613" t="str">
            <v>Active</v>
          </cell>
          <cell r="K613">
            <v>46030</v>
          </cell>
          <cell r="L613" t="str">
            <v>Dubai</v>
          </cell>
        </row>
        <row r="614">
          <cell r="A614" t="str">
            <v>X23941968</v>
          </cell>
          <cell r="C614" t="str">
            <v>Rove Downtown</v>
          </cell>
          <cell r="D614" t="str">
            <v>Package</v>
          </cell>
          <cell r="E614">
            <v>46023</v>
          </cell>
          <cell r="F614" t="str">
            <v>31/12/2026</v>
          </cell>
          <cell r="G614" t="str">
            <v>2026 YaHala Exclusive Hotels - Dubai Offers</v>
          </cell>
          <cell r="H614" t="str">
            <v>a0CTi00005KAoAiMAL</v>
          </cell>
          <cell r="I614" t="str">
            <v>L26DBYATR</v>
          </cell>
          <cell r="J614" t="str">
            <v>Active</v>
          </cell>
          <cell r="K614">
            <v>46030</v>
          </cell>
          <cell r="L614" t="str">
            <v>Dubai</v>
          </cell>
        </row>
        <row r="615">
          <cell r="A615" t="str">
            <v>X23941954</v>
          </cell>
          <cell r="C615" t="str">
            <v>Vida Hotel &amp; Resorts</v>
          </cell>
          <cell r="D615" t="str">
            <v>Package</v>
          </cell>
          <cell r="E615">
            <v>46023</v>
          </cell>
          <cell r="F615" t="str">
            <v>31/12/2026</v>
          </cell>
          <cell r="G615" t="str">
            <v>2026 YaHala Exclusive Hotels - Dubai Offers</v>
          </cell>
          <cell r="H615" t="str">
            <v>a0CTi00005KAoAiMAL</v>
          </cell>
          <cell r="I615" t="str">
            <v>L26DBYATR</v>
          </cell>
          <cell r="J615" t="str">
            <v>Active</v>
          </cell>
          <cell r="K615">
            <v>46030</v>
          </cell>
          <cell r="L615" t="str">
            <v>Dubai</v>
          </cell>
        </row>
        <row r="616">
          <cell r="A616" t="str">
            <v>X23944995</v>
          </cell>
          <cell r="C616" t="str">
            <v>Palazzo Versace Dubai</v>
          </cell>
          <cell r="D616" t="str">
            <v>Package</v>
          </cell>
          <cell r="E616">
            <v>46023</v>
          </cell>
          <cell r="F616" t="str">
            <v>31/12/2026</v>
          </cell>
          <cell r="G616" t="str">
            <v>2026 YaHala Exclusive Hotels - Dubai Offers</v>
          </cell>
          <cell r="H616" t="str">
            <v>a0CTi00005KAoAiMAL</v>
          </cell>
          <cell r="I616" t="str">
            <v>L26DBYATR</v>
          </cell>
          <cell r="J616" t="str">
            <v>Active</v>
          </cell>
          <cell r="K616">
            <v>46030</v>
          </cell>
          <cell r="L616" t="str">
            <v>Dubai</v>
          </cell>
        </row>
        <row r="617">
          <cell r="A617" t="str">
            <v>X23941967</v>
          </cell>
          <cell r="C617" t="str">
            <v>Rove Trade Centre</v>
          </cell>
          <cell r="D617" t="str">
            <v>Package</v>
          </cell>
          <cell r="E617">
            <v>46023</v>
          </cell>
          <cell r="F617" t="str">
            <v>31/12/2026</v>
          </cell>
          <cell r="G617" t="str">
            <v>2026 YaHala Exclusive Hotels - Dubai Offers</v>
          </cell>
          <cell r="H617" t="str">
            <v>a0CTi00005KAoAiMAL</v>
          </cell>
          <cell r="I617" t="str">
            <v>L26DBYATR</v>
          </cell>
          <cell r="J617" t="str">
            <v>Active</v>
          </cell>
          <cell r="K617">
            <v>46030</v>
          </cell>
          <cell r="L617" t="str">
            <v>Dubai</v>
          </cell>
        </row>
        <row r="618">
          <cell r="A618" t="str">
            <v>X23930033</v>
          </cell>
          <cell r="C618" t="str">
            <v>Fairmont Ajman - Yahala</v>
          </cell>
          <cell r="D618" t="str">
            <v>Package</v>
          </cell>
          <cell r="E618">
            <v>46023</v>
          </cell>
          <cell r="F618" t="str">
            <v>31/12/2026</v>
          </cell>
          <cell r="G618" t="str">
            <v>2026 YaHala Exclusive Hotels - Dubai Offers</v>
          </cell>
          <cell r="H618" t="str">
            <v>a0CTi00005KAoAiMAL</v>
          </cell>
          <cell r="I618" t="str">
            <v>L26DBYATR</v>
          </cell>
          <cell r="J618" t="str">
            <v>Active</v>
          </cell>
          <cell r="K618">
            <v>46030</v>
          </cell>
          <cell r="L618" t="str">
            <v>Dubai</v>
          </cell>
        </row>
        <row r="619">
          <cell r="A619" t="str">
            <v>X23172678</v>
          </cell>
          <cell r="C619" t="str">
            <v>Four Seasons DIFC</v>
          </cell>
          <cell r="D619" t="str">
            <v>Package</v>
          </cell>
          <cell r="E619">
            <v>46023</v>
          </cell>
          <cell r="F619" t="str">
            <v>31/12/2026</v>
          </cell>
          <cell r="G619" t="str">
            <v>2026 YaHala Exclusive Hotels - Dubai Offers</v>
          </cell>
          <cell r="H619" t="str">
            <v>a0CTi00005KAoAiMAL</v>
          </cell>
          <cell r="I619" t="str">
            <v>L26DBYATR</v>
          </cell>
          <cell r="J619" t="str">
            <v>Active</v>
          </cell>
          <cell r="K619">
            <v>46030</v>
          </cell>
          <cell r="L619" t="str">
            <v>Dubai</v>
          </cell>
        </row>
        <row r="620">
          <cell r="A620" t="str">
            <v>X23929957</v>
          </cell>
          <cell r="C620" t="str">
            <v>JA Hatta Fort Hotel - Yahala</v>
          </cell>
          <cell r="D620" t="str">
            <v>Package</v>
          </cell>
          <cell r="E620">
            <v>46023</v>
          </cell>
          <cell r="F620" t="str">
            <v>31/12/2026</v>
          </cell>
          <cell r="G620" t="str">
            <v>2026 YaHala Exclusive Hotels - Dubai Offers</v>
          </cell>
          <cell r="H620" t="str">
            <v>a0CTi00005KAoAiMAL</v>
          </cell>
          <cell r="I620" t="str">
            <v>L26DBYATR</v>
          </cell>
          <cell r="J620" t="str">
            <v>Active</v>
          </cell>
          <cell r="K620">
            <v>46030</v>
          </cell>
          <cell r="L620" t="str">
            <v>Dubai</v>
          </cell>
        </row>
        <row r="621">
          <cell r="A621" t="str">
            <v>X23930230</v>
          </cell>
          <cell r="C621" t="str">
            <v>JA Beach Hotel - Yahala</v>
          </cell>
          <cell r="D621" t="str">
            <v>Package</v>
          </cell>
          <cell r="E621">
            <v>46023</v>
          </cell>
          <cell r="F621" t="str">
            <v>31/12/2026</v>
          </cell>
          <cell r="G621" t="str">
            <v>2026 YaHala Exclusive Hotels - Dubai Offers</v>
          </cell>
          <cell r="H621" t="str">
            <v>a0CTi00005KAoAiMAL</v>
          </cell>
          <cell r="I621" t="str">
            <v>L26DBYATR</v>
          </cell>
          <cell r="J621" t="str">
            <v>Active</v>
          </cell>
          <cell r="K621">
            <v>46030</v>
          </cell>
          <cell r="L621" t="str">
            <v>Dubai</v>
          </cell>
        </row>
        <row r="622">
          <cell r="A622" t="str">
            <v>X23888412</v>
          </cell>
          <cell r="C622" t="str">
            <v>Jumeirah Al Naseem</v>
          </cell>
          <cell r="D622" t="str">
            <v>Package</v>
          </cell>
          <cell r="E622">
            <v>46023</v>
          </cell>
          <cell r="F622" t="str">
            <v>31/12/2026</v>
          </cell>
          <cell r="G622" t="str">
            <v>2026 YaHala Exclusive Hotels - Dubai Offers</v>
          </cell>
          <cell r="H622" t="str">
            <v>a0CTi00005KAoAiMAL</v>
          </cell>
          <cell r="I622" t="str">
            <v>L26DBYATR</v>
          </cell>
          <cell r="J622" t="str">
            <v>Active</v>
          </cell>
          <cell r="K622">
            <v>46030</v>
          </cell>
          <cell r="L622" t="str">
            <v>Dubai</v>
          </cell>
        </row>
        <row r="623">
          <cell r="A623" t="str">
            <v>X23882638</v>
          </cell>
          <cell r="C623" t="str">
            <v>Four Seasons Kuala Lumpur</v>
          </cell>
          <cell r="D623" t="str">
            <v>Package</v>
          </cell>
          <cell r="E623">
            <v>46023</v>
          </cell>
          <cell r="F623" t="str">
            <v>31/12/2026</v>
          </cell>
          <cell r="G623" t="str">
            <v>2026 YaHala Exclusive Hotels - Dubai Offers</v>
          </cell>
          <cell r="H623" t="str">
            <v>a0CTi00005KAoAiMAL</v>
          </cell>
          <cell r="I623" t="str">
            <v>L26DBYATR</v>
          </cell>
          <cell r="J623" t="str">
            <v>Active</v>
          </cell>
          <cell r="K623">
            <v>46030</v>
          </cell>
          <cell r="L623" t="str">
            <v>Dubai</v>
          </cell>
        </row>
        <row r="624">
          <cell r="A624" t="str">
            <v>X23892099</v>
          </cell>
          <cell r="C624" t="str">
            <v>Hatta Damani Lodges Resort by Meraas</v>
          </cell>
          <cell r="D624" t="str">
            <v>Package</v>
          </cell>
          <cell r="E624">
            <v>46023</v>
          </cell>
          <cell r="F624" t="str">
            <v>31/12/2026</v>
          </cell>
          <cell r="G624" t="str">
            <v>2026 YaHala Exclusive Hotels - Dubai Offers</v>
          </cell>
          <cell r="H624" t="str">
            <v>a0CTi00005KAoAiMAL</v>
          </cell>
          <cell r="I624" t="str">
            <v>L26DBYATR</v>
          </cell>
          <cell r="J624" t="str">
            <v>Active</v>
          </cell>
          <cell r="K624">
            <v>46030</v>
          </cell>
          <cell r="L624" t="str">
            <v>Dubai</v>
          </cell>
        </row>
        <row r="625">
          <cell r="A625" t="str">
            <v>X23930152</v>
          </cell>
          <cell r="C625" t="str">
            <v>Rixos Bab Al Bahr - Yahala</v>
          </cell>
          <cell r="D625" t="str">
            <v>Package</v>
          </cell>
          <cell r="E625">
            <v>46023</v>
          </cell>
          <cell r="F625" t="str">
            <v>31/12/2026</v>
          </cell>
          <cell r="G625" t="str">
            <v>2026 YaHala Exclusive Hotels - Dubai Offers</v>
          </cell>
          <cell r="H625" t="str">
            <v>a0CTi00005KAoAiMAL</v>
          </cell>
          <cell r="I625" t="str">
            <v>L26DBYATR</v>
          </cell>
          <cell r="J625" t="str">
            <v>Active</v>
          </cell>
          <cell r="K625">
            <v>46030</v>
          </cell>
          <cell r="L625" t="str">
            <v>Dubai</v>
          </cell>
        </row>
        <row r="626">
          <cell r="A626" t="str">
            <v>X23172681</v>
          </cell>
          <cell r="C626" t="str">
            <v>Grand Hyatt Dubai</v>
          </cell>
          <cell r="D626" t="str">
            <v>Package</v>
          </cell>
          <cell r="E626">
            <v>46023</v>
          </cell>
          <cell r="F626" t="str">
            <v>31/12/2026</v>
          </cell>
          <cell r="G626" t="str">
            <v>2026 YaHala Exclusive Hotels - Dubai Offers</v>
          </cell>
          <cell r="H626" t="str">
            <v>a0CTi00005KAoAiMAL</v>
          </cell>
          <cell r="I626" t="str">
            <v>L26DBYATR</v>
          </cell>
          <cell r="J626" t="str">
            <v>Active</v>
          </cell>
          <cell r="K626">
            <v>46030</v>
          </cell>
          <cell r="L626" t="str">
            <v>Dubai</v>
          </cell>
        </row>
        <row r="627">
          <cell r="A627" t="str">
            <v>X23930168</v>
          </cell>
          <cell r="C627" t="str">
            <v>JA Oasis Beach Tower - Yahala</v>
          </cell>
          <cell r="D627" t="str">
            <v>Package</v>
          </cell>
          <cell r="E627">
            <v>46023</v>
          </cell>
          <cell r="F627" t="str">
            <v>31/12/2026</v>
          </cell>
          <cell r="G627" t="str">
            <v>2026 YaHala Exclusive Hotels - Dubai Offers</v>
          </cell>
          <cell r="H627" t="str">
            <v>a0CTi00005KAoAiMAL</v>
          </cell>
          <cell r="I627" t="str">
            <v>L26DBYATR</v>
          </cell>
          <cell r="J627" t="str">
            <v>Active</v>
          </cell>
          <cell r="K627">
            <v>46030</v>
          </cell>
          <cell r="L627" t="str">
            <v>Dubai</v>
          </cell>
        </row>
        <row r="628">
          <cell r="A628" t="str">
            <v>X23881220</v>
          </cell>
          <cell r="C628" t="str">
            <v>Four Seasons Resort Dubai at Jumeirah Beach</v>
          </cell>
          <cell r="D628" t="str">
            <v>Package</v>
          </cell>
          <cell r="E628">
            <v>46023</v>
          </cell>
          <cell r="F628" t="str">
            <v>31/12/2026</v>
          </cell>
          <cell r="G628" t="str">
            <v>2026 YaHala Exclusive Hotels - Dubai Offers</v>
          </cell>
          <cell r="H628" t="str">
            <v>a0CTi00005KAoAiMAL</v>
          </cell>
          <cell r="I628" t="str">
            <v>L26DBYATR</v>
          </cell>
          <cell r="J628" t="str">
            <v>Active</v>
          </cell>
          <cell r="K628">
            <v>46030</v>
          </cell>
          <cell r="L628" t="str">
            <v>Dubai</v>
          </cell>
        </row>
        <row r="629">
          <cell r="A629" t="str">
            <v>X23930035</v>
          </cell>
          <cell r="C629" t="str">
            <v>Fairmont Fujairah Beach Resort- Yahala</v>
          </cell>
          <cell r="D629" t="str">
            <v>Package</v>
          </cell>
          <cell r="E629">
            <v>46023</v>
          </cell>
          <cell r="F629" t="str">
            <v>31/12/2026</v>
          </cell>
          <cell r="G629" t="str">
            <v>2026 YaHala Exclusive Hotels - Dubai Offers</v>
          </cell>
          <cell r="H629" t="str">
            <v>a0CTi00005KAoAiMAL</v>
          </cell>
          <cell r="I629" t="str">
            <v>L26DBYATR</v>
          </cell>
          <cell r="J629" t="str">
            <v>Active</v>
          </cell>
          <cell r="K629">
            <v>46030</v>
          </cell>
          <cell r="L629" t="str">
            <v>Dubai</v>
          </cell>
        </row>
        <row r="630">
          <cell r="A630" t="str">
            <v>X23930032</v>
          </cell>
          <cell r="C630" t="str">
            <v>Fairmont Dubai - Yahala</v>
          </cell>
          <cell r="D630" t="str">
            <v>Package</v>
          </cell>
          <cell r="E630">
            <v>46023</v>
          </cell>
          <cell r="F630" t="str">
            <v>31/12/2026</v>
          </cell>
          <cell r="G630" t="str">
            <v>2026 YaHala Exclusive Hotels - Dubai Offers</v>
          </cell>
          <cell r="H630" t="str">
            <v>a0CTi00005KAoAiMAL</v>
          </cell>
          <cell r="I630" t="str">
            <v>L26DBYATR</v>
          </cell>
          <cell r="J630" t="str">
            <v>Active</v>
          </cell>
          <cell r="K630">
            <v>46030</v>
          </cell>
          <cell r="L630" t="str">
            <v>Dubai</v>
          </cell>
        </row>
        <row r="631">
          <cell r="A631" t="str">
            <v>X23930172</v>
          </cell>
          <cell r="C631" t="str">
            <v>JA Palm Tree Court - Yahala</v>
          </cell>
          <cell r="D631" t="str">
            <v>Package</v>
          </cell>
          <cell r="E631">
            <v>46023</v>
          </cell>
          <cell r="F631" t="str">
            <v>31/12/2026</v>
          </cell>
          <cell r="G631" t="str">
            <v>2026 YaHala Exclusive Hotels - Dubai Offers</v>
          </cell>
          <cell r="H631" t="str">
            <v>a0CTi00005KAoAiMAL</v>
          </cell>
          <cell r="I631" t="str">
            <v>L26DBYATR</v>
          </cell>
          <cell r="J631" t="str">
            <v>Active</v>
          </cell>
          <cell r="K631">
            <v>46030</v>
          </cell>
          <cell r="L631" t="str">
            <v>Dubai</v>
          </cell>
        </row>
        <row r="632">
          <cell r="A632" t="str">
            <v>X23930171</v>
          </cell>
          <cell r="C632" t="str">
            <v>JA Ocean View Hotel - Yahala</v>
          </cell>
          <cell r="D632" t="str">
            <v>Package</v>
          </cell>
          <cell r="E632">
            <v>46023</v>
          </cell>
          <cell r="F632" t="str">
            <v>31/12/2026</v>
          </cell>
          <cell r="G632" t="str">
            <v>2026 YaHala Exclusive Hotels - Dubai Offers</v>
          </cell>
          <cell r="H632" t="str">
            <v>a0CTi00005KAoAiMAL</v>
          </cell>
          <cell r="I632" t="str">
            <v>L26DBYATR</v>
          </cell>
          <cell r="J632" t="str">
            <v>Active</v>
          </cell>
          <cell r="K632">
            <v>46030</v>
          </cell>
          <cell r="L632" t="str">
            <v>Dubai</v>
          </cell>
        </row>
        <row r="633">
          <cell r="A633" t="str">
            <v>X23941259</v>
          </cell>
          <cell r="C633" t="str">
            <v>Jumeirah Messilah Beach Hotel &amp; Spa - Kuwait - Yahala</v>
          </cell>
          <cell r="D633" t="str">
            <v>Package</v>
          </cell>
          <cell r="E633">
            <v>46023</v>
          </cell>
          <cell r="F633" t="str">
            <v>31/12/2026</v>
          </cell>
          <cell r="G633" t="str">
            <v>2026 YaHala Exclusive Hotels - Dubai Offers</v>
          </cell>
          <cell r="H633" t="str">
            <v>a0CTi00005KAoAiMAL</v>
          </cell>
          <cell r="I633" t="str">
            <v>L26DBYATR</v>
          </cell>
          <cell r="J633" t="str">
            <v>Active</v>
          </cell>
          <cell r="K633">
            <v>46031</v>
          </cell>
          <cell r="L633" t="str">
            <v>Dubai</v>
          </cell>
        </row>
        <row r="634">
          <cell r="A634" t="str">
            <v>X23172465</v>
          </cell>
          <cell r="C634" t="str">
            <v>Al Maha Desert Resort</v>
          </cell>
          <cell r="D634" t="str">
            <v>Package</v>
          </cell>
          <cell r="E634">
            <v>46023</v>
          </cell>
          <cell r="F634" t="str">
            <v>31/12/2026</v>
          </cell>
          <cell r="G634" t="str">
            <v>2026 YaHala Exclusive Hotels - Dubai Offers</v>
          </cell>
          <cell r="H634" t="str">
            <v>a0CTi00005KAoAiMAL</v>
          </cell>
          <cell r="I634" t="str">
            <v>L26DBYATR</v>
          </cell>
          <cell r="J634" t="str">
            <v>Active</v>
          </cell>
          <cell r="K634">
            <v>46031</v>
          </cell>
          <cell r="L634" t="str">
            <v>Dubai</v>
          </cell>
        </row>
        <row r="635">
          <cell r="A635" t="str">
            <v>X23941252</v>
          </cell>
          <cell r="C635" t="str">
            <v>Jumeirah Gulf of Bahrain Resort &amp; Spa - Bahrain - Yahala</v>
          </cell>
          <cell r="D635" t="str">
            <v>Package</v>
          </cell>
          <cell r="E635">
            <v>46023</v>
          </cell>
          <cell r="F635" t="str">
            <v>31/12/2026</v>
          </cell>
          <cell r="G635" t="str">
            <v>2026 YaHala Exclusive Hotels - Dubai Offers</v>
          </cell>
          <cell r="H635" t="str">
            <v>a0CTi00005KAoAiMAL</v>
          </cell>
          <cell r="I635" t="str">
            <v>L26DBYATR</v>
          </cell>
          <cell r="J635" t="str">
            <v>Active</v>
          </cell>
          <cell r="K635">
            <v>46031</v>
          </cell>
          <cell r="L635" t="str">
            <v>Dubai</v>
          </cell>
        </row>
        <row r="636">
          <cell r="A636" t="str">
            <v>X23941261</v>
          </cell>
          <cell r="C636" t="str">
            <v>Jumeirah Nanjing - China - Yahala</v>
          </cell>
          <cell r="D636" t="str">
            <v>Package</v>
          </cell>
          <cell r="E636">
            <v>46023</v>
          </cell>
          <cell r="F636" t="str">
            <v>31/12/2026</v>
          </cell>
          <cell r="G636" t="str">
            <v>2026 YaHala Exclusive Hotels - Dubai Offers</v>
          </cell>
          <cell r="H636" t="str">
            <v>a0CTi00005KAoAiMAL</v>
          </cell>
          <cell r="I636" t="str">
            <v>L26DBYATR</v>
          </cell>
          <cell r="J636" t="str">
            <v>Active</v>
          </cell>
          <cell r="K636">
            <v>46031</v>
          </cell>
          <cell r="L636" t="str">
            <v>Dubai</v>
          </cell>
        </row>
        <row r="637">
          <cell r="A637" t="str">
            <v>X23930154</v>
          </cell>
          <cell r="C637" t="str">
            <v>One&amp;Only The Palm - Yahala</v>
          </cell>
          <cell r="D637" t="str">
            <v>Package</v>
          </cell>
          <cell r="E637">
            <v>46023</v>
          </cell>
          <cell r="F637" t="str">
            <v>31/12/2026</v>
          </cell>
          <cell r="G637" t="str">
            <v>2026 YaHala Exclusive Hotels - Dubai Offers</v>
          </cell>
          <cell r="H637" t="str">
            <v>a0CTi00005KAoAiMAL</v>
          </cell>
          <cell r="I637" t="str">
            <v>L26DBYATR</v>
          </cell>
          <cell r="J637" t="str">
            <v>Active</v>
          </cell>
          <cell r="K637">
            <v>46031</v>
          </cell>
          <cell r="L637" t="str">
            <v>Dubai</v>
          </cell>
        </row>
        <row r="638">
          <cell r="A638" t="str">
            <v>X23113846</v>
          </cell>
          <cell r="C638" t="str">
            <v>The Retreat Palm Dubai MGallery by Sofitel</v>
          </cell>
          <cell r="D638" t="str">
            <v>Package</v>
          </cell>
          <cell r="E638">
            <v>46023</v>
          </cell>
          <cell r="F638" t="str">
            <v>31/12/2026</v>
          </cell>
          <cell r="G638" t="str">
            <v>2026 YaHala Exclusive Hotels - Dubai Offers</v>
          </cell>
          <cell r="H638" t="str">
            <v>a0CTi00005KAoAiMAL</v>
          </cell>
          <cell r="I638" t="str">
            <v>L26DBYATR</v>
          </cell>
          <cell r="J638" t="str">
            <v>Active</v>
          </cell>
          <cell r="K638">
            <v>46031</v>
          </cell>
          <cell r="L638" t="str">
            <v>Dubai</v>
          </cell>
        </row>
        <row r="639">
          <cell r="A639" t="str">
            <v>X23941253</v>
          </cell>
          <cell r="C639" t="str">
            <v>Jumeirah Himalayas Hotel Shanghai - China - Yahala</v>
          </cell>
          <cell r="D639" t="str">
            <v>Package</v>
          </cell>
          <cell r="E639">
            <v>46023</v>
          </cell>
          <cell r="F639" t="str">
            <v>31/12/2026</v>
          </cell>
          <cell r="G639" t="str">
            <v>2026 YaHala Exclusive Hotels - Dubai Offers</v>
          </cell>
          <cell r="H639" t="str">
            <v>a0CTi00005KAoAiMAL</v>
          </cell>
          <cell r="I639" t="str">
            <v>L26DBYATR</v>
          </cell>
          <cell r="J639" t="str">
            <v>Active</v>
          </cell>
          <cell r="K639">
            <v>46031</v>
          </cell>
          <cell r="L639" t="str">
            <v>Dubai</v>
          </cell>
        </row>
        <row r="640">
          <cell r="A640" t="str">
            <v>X23941232</v>
          </cell>
          <cell r="C640" t="str">
            <v>Jumeirah Living Guangzhou - Residences - Yahala</v>
          </cell>
          <cell r="D640" t="str">
            <v>Package</v>
          </cell>
          <cell r="E640">
            <v>46023</v>
          </cell>
          <cell r="F640" t="str">
            <v>31/12/2026</v>
          </cell>
          <cell r="G640" t="str">
            <v>2026 YaHala Exclusive Hotels - Dubai Offers</v>
          </cell>
          <cell r="H640" t="str">
            <v>a0CTi00005KAoAiMAL</v>
          </cell>
          <cell r="I640" t="str">
            <v>L26DBYATR</v>
          </cell>
          <cell r="J640" t="str">
            <v>Active</v>
          </cell>
          <cell r="K640">
            <v>46031</v>
          </cell>
          <cell r="L640" t="str">
            <v>Dubai</v>
          </cell>
        </row>
        <row r="641">
          <cell r="A641" t="str">
            <v>X23941256</v>
          </cell>
          <cell r="C641" t="str">
            <v>Jumeirah Lowndes Hotel - UK - Yahala</v>
          </cell>
          <cell r="D641" t="str">
            <v>Package</v>
          </cell>
          <cell r="E641">
            <v>46023</v>
          </cell>
          <cell r="F641" t="str">
            <v>31/12/2026</v>
          </cell>
          <cell r="G641" t="str">
            <v>2026 YaHala Exclusive Hotels - Dubai Offers</v>
          </cell>
          <cell r="H641" t="str">
            <v>a0CTi00005KAoAiMAL</v>
          </cell>
          <cell r="I641" t="str">
            <v>L26DBYATR</v>
          </cell>
          <cell r="J641" t="str">
            <v>Active</v>
          </cell>
          <cell r="K641">
            <v>46031</v>
          </cell>
          <cell r="L641" t="str">
            <v>Dubai</v>
          </cell>
        </row>
        <row r="642">
          <cell r="A642" t="str">
            <v>X23952915</v>
          </cell>
          <cell r="C642" t="str">
            <v>Siro by One and Only Zabeel</v>
          </cell>
          <cell r="D642" t="str">
            <v>Package</v>
          </cell>
          <cell r="E642">
            <v>46023</v>
          </cell>
          <cell r="F642" t="str">
            <v>31/12/2026</v>
          </cell>
          <cell r="G642" t="str">
            <v>2026 YaHala Exclusive Hotels - Dubai Offers</v>
          </cell>
          <cell r="H642" t="str">
            <v>a0CTi00005KAoAiMAL</v>
          </cell>
          <cell r="I642" t="str">
            <v>L26DBYATR</v>
          </cell>
          <cell r="J642" t="str">
            <v>Active</v>
          </cell>
          <cell r="K642">
            <v>46031</v>
          </cell>
          <cell r="L642" t="str">
            <v>Dubai</v>
          </cell>
        </row>
        <row r="643">
          <cell r="A643" t="str">
            <v>X23941249</v>
          </cell>
          <cell r="C643" t="str">
            <v>Capri Palace Jumeirah - Yahala</v>
          </cell>
          <cell r="D643" t="str">
            <v>Package</v>
          </cell>
          <cell r="E643">
            <v>46023</v>
          </cell>
          <cell r="F643" t="str">
            <v>31/12/2026</v>
          </cell>
          <cell r="G643" t="str">
            <v>2026 YaHala Exclusive Hotels - Dubai Offers</v>
          </cell>
          <cell r="H643" t="str">
            <v>a0CTi00005KAoAiMAL</v>
          </cell>
          <cell r="I643" t="str">
            <v>L26DBYATR</v>
          </cell>
          <cell r="J643" t="str">
            <v>Active</v>
          </cell>
          <cell r="K643">
            <v>46031</v>
          </cell>
          <cell r="L643" t="str">
            <v>Dubai</v>
          </cell>
        </row>
        <row r="644">
          <cell r="A644" t="str">
            <v>X23930479</v>
          </cell>
          <cell r="C644" t="str">
            <v>Six Senses Laamu - Yahala</v>
          </cell>
          <cell r="D644" t="str">
            <v>Package</v>
          </cell>
          <cell r="E644">
            <v>46023</v>
          </cell>
          <cell r="F644" t="str">
            <v>31/12/2026</v>
          </cell>
          <cell r="G644" t="str">
            <v>2026 YaHala Exclusive Hotels - Dubai Offers</v>
          </cell>
          <cell r="H644" t="str">
            <v>a0CTi00005KAoAiMAL</v>
          </cell>
          <cell r="I644" t="str">
            <v>L26DBYATR</v>
          </cell>
          <cell r="J644" t="str">
            <v>Active</v>
          </cell>
          <cell r="K644">
            <v>46031</v>
          </cell>
          <cell r="L644" t="str">
            <v>Dubai</v>
          </cell>
        </row>
        <row r="645">
          <cell r="A645" t="str">
            <v>X23930482</v>
          </cell>
          <cell r="C645" t="str">
            <v>Kingfisher Lodge - Yahala</v>
          </cell>
          <cell r="D645" t="str">
            <v>Package</v>
          </cell>
          <cell r="E645">
            <v>46023</v>
          </cell>
          <cell r="F645" t="str">
            <v>31/12/2026</v>
          </cell>
          <cell r="G645" t="str">
            <v>2026 YaHala Exclusive Hotels - Dubai Offers</v>
          </cell>
          <cell r="H645" t="str">
            <v>a0CTi00005KAoAiMAL</v>
          </cell>
          <cell r="I645" t="str">
            <v>L26DBYATR</v>
          </cell>
          <cell r="J645" t="str">
            <v>Active</v>
          </cell>
          <cell r="K645">
            <v>46031</v>
          </cell>
          <cell r="L645" t="str">
            <v>Dubai</v>
          </cell>
        </row>
        <row r="646">
          <cell r="A646" t="str">
            <v>X23941263</v>
          </cell>
          <cell r="C646" t="str">
            <v>The Carlton Tower Jumeirah - UK - Yahala</v>
          </cell>
          <cell r="D646" t="str">
            <v>Package</v>
          </cell>
          <cell r="E646">
            <v>46023</v>
          </cell>
          <cell r="F646" t="str">
            <v>31/12/2026</v>
          </cell>
          <cell r="G646" t="str">
            <v>2026 YaHala Exclusive Hotels - Dubai Offers</v>
          </cell>
          <cell r="H646" t="str">
            <v>a0CTi00005KAoAiMAL</v>
          </cell>
          <cell r="I646" t="str">
            <v>L26DBYATR</v>
          </cell>
          <cell r="J646" t="str">
            <v>Active</v>
          </cell>
          <cell r="K646">
            <v>46031</v>
          </cell>
          <cell r="L646" t="str">
            <v>Dubai</v>
          </cell>
        </row>
        <row r="647">
          <cell r="A647" t="str">
            <v>X23941250</v>
          </cell>
          <cell r="C647" t="str">
            <v>Jumeirah Bali - Indonesia - Yahala</v>
          </cell>
          <cell r="D647" t="str">
            <v>Package</v>
          </cell>
          <cell r="E647">
            <v>46023</v>
          </cell>
          <cell r="F647" t="str">
            <v>31/12/2026</v>
          </cell>
          <cell r="G647" t="str">
            <v>2026 YaHala Exclusive Hotels - Dubai Offers</v>
          </cell>
          <cell r="H647" t="str">
            <v>a0CTi00005KAoAiMAL</v>
          </cell>
          <cell r="I647" t="str">
            <v>L26DBYATR</v>
          </cell>
          <cell r="J647" t="str">
            <v>Active</v>
          </cell>
          <cell r="K647">
            <v>46031</v>
          </cell>
          <cell r="L647" t="str">
            <v>Dubai</v>
          </cell>
        </row>
        <row r="648">
          <cell r="A648" t="str">
            <v>X23941257</v>
          </cell>
          <cell r="C648" t="str">
            <v>Jumeirah Makkah - Saudi Arabia -Yahala</v>
          </cell>
          <cell r="D648" t="str">
            <v>Package</v>
          </cell>
          <cell r="E648">
            <v>46023</v>
          </cell>
          <cell r="F648" t="str">
            <v>31/12/2026</v>
          </cell>
          <cell r="G648" t="str">
            <v>2026 YaHala Exclusive Hotels - Dubai Offers</v>
          </cell>
          <cell r="H648" t="str">
            <v>a0CTi00005KAoAiMAL</v>
          </cell>
          <cell r="I648" t="str">
            <v>L26DBYATR</v>
          </cell>
          <cell r="J648" t="str">
            <v>Active</v>
          </cell>
          <cell r="K648">
            <v>46031</v>
          </cell>
          <cell r="L648" t="str">
            <v>Dubai</v>
          </cell>
        </row>
        <row r="649">
          <cell r="A649" t="str">
            <v>X23941262</v>
          </cell>
          <cell r="C649" t="str">
            <v>Jumeirah Port Soller Hotel &amp; Spa - Yahala</v>
          </cell>
          <cell r="D649" t="str">
            <v>Package</v>
          </cell>
          <cell r="E649">
            <v>46023</v>
          </cell>
          <cell r="F649" t="str">
            <v>31/12/2026</v>
          </cell>
          <cell r="G649" t="str">
            <v>2026 YaHala Exclusive Hotels - Dubai Offers</v>
          </cell>
          <cell r="H649" t="str">
            <v>a0CTi00005KAoAiMAL</v>
          </cell>
          <cell r="I649" t="str">
            <v>L26DBYATR</v>
          </cell>
          <cell r="J649" t="str">
            <v>Active</v>
          </cell>
          <cell r="K649">
            <v>46031</v>
          </cell>
          <cell r="L649" t="str">
            <v>Dubai</v>
          </cell>
        </row>
        <row r="650">
          <cell r="A650" t="str">
            <v>X21391174</v>
          </cell>
          <cell r="C650" t="str">
            <v>Sofitel Dubai The Palm</v>
          </cell>
          <cell r="D650" t="str">
            <v>Package</v>
          </cell>
          <cell r="E650">
            <v>46023</v>
          </cell>
          <cell r="F650" t="str">
            <v>31/12/2026</v>
          </cell>
          <cell r="G650" t="str">
            <v>2026 YaHala Exclusive Hotels - Dubai Offers</v>
          </cell>
          <cell r="H650" t="str">
            <v>a0CTi00005KAoAiMAL</v>
          </cell>
          <cell r="I650" t="str">
            <v>L26DBYATR</v>
          </cell>
          <cell r="J650" t="str">
            <v>Active</v>
          </cell>
          <cell r="K650">
            <v>46031</v>
          </cell>
          <cell r="L650" t="str">
            <v>Dubai</v>
          </cell>
        </row>
        <row r="651">
          <cell r="A651" t="str">
            <v>X23881223</v>
          </cell>
          <cell r="C651" t="str">
            <v>Six Senses Zighy Bay</v>
          </cell>
          <cell r="D651" t="str">
            <v>Package</v>
          </cell>
          <cell r="E651">
            <v>46023</v>
          </cell>
          <cell r="F651" t="str">
            <v>31/12/2026</v>
          </cell>
          <cell r="G651" t="str">
            <v>2026 YaHala Exclusive Hotels - Dubai Offers</v>
          </cell>
          <cell r="H651" t="str">
            <v>a0CTi00005KAoAiMAL</v>
          </cell>
          <cell r="I651" t="str">
            <v>L26DBYATR</v>
          </cell>
          <cell r="J651" t="str">
            <v>Active</v>
          </cell>
          <cell r="K651">
            <v>46031</v>
          </cell>
          <cell r="L651" t="str">
            <v>Dubai</v>
          </cell>
        </row>
        <row r="652">
          <cell r="A652" t="str">
            <v>X23947242</v>
          </cell>
          <cell r="C652" t="str">
            <v>Nikki Beach Dubai</v>
          </cell>
          <cell r="D652" t="str">
            <v>Package</v>
          </cell>
          <cell r="E652">
            <v>46023</v>
          </cell>
          <cell r="F652" t="str">
            <v>31/12/2026</v>
          </cell>
          <cell r="G652" t="str">
            <v>2026 YaHala Exclusive Hotels - Dubai Offers</v>
          </cell>
          <cell r="H652" t="str">
            <v>a0CTi00005KAoAiMAL</v>
          </cell>
          <cell r="I652" t="str">
            <v>L26DBYATR</v>
          </cell>
          <cell r="J652" t="str">
            <v>Active</v>
          </cell>
          <cell r="K652">
            <v>46031</v>
          </cell>
          <cell r="L652" t="str">
            <v>Dubai</v>
          </cell>
        </row>
        <row r="653">
          <cell r="A653" t="str">
            <v>X23930151</v>
          </cell>
          <cell r="C653" t="str">
            <v>Voco Hotel - Yahala</v>
          </cell>
          <cell r="D653" t="str">
            <v>Package</v>
          </cell>
          <cell r="E653">
            <v>46023</v>
          </cell>
          <cell r="F653" t="str">
            <v>31/12/2026</v>
          </cell>
          <cell r="G653" t="str">
            <v>2026 YaHala Exclusive Hotels - Dubai Offers</v>
          </cell>
          <cell r="H653" t="str">
            <v>a0CTi00005KAoAiMAL</v>
          </cell>
          <cell r="I653" t="str">
            <v>L26DBYATR</v>
          </cell>
          <cell r="J653" t="str">
            <v>Active</v>
          </cell>
          <cell r="K653">
            <v>46031</v>
          </cell>
          <cell r="L653" t="str">
            <v>Dubai</v>
          </cell>
        </row>
        <row r="654">
          <cell r="A654" t="str">
            <v>X23924630</v>
          </cell>
          <cell r="C654" t="str">
            <v>Palace Beach Resort Fujairah</v>
          </cell>
          <cell r="D654" t="str">
            <v>Package</v>
          </cell>
          <cell r="E654">
            <v>46023</v>
          </cell>
          <cell r="F654" t="str">
            <v>31/12/2026</v>
          </cell>
          <cell r="G654" t="str">
            <v>2026 YaHala Exclusive Hotels - Dubai Offers</v>
          </cell>
          <cell r="H654" t="str">
            <v>a0CTi00005KAoAiMAL</v>
          </cell>
          <cell r="I654" t="str">
            <v>L26DBYATR</v>
          </cell>
          <cell r="J654" t="str">
            <v>Active</v>
          </cell>
          <cell r="K654">
            <v>46031</v>
          </cell>
          <cell r="L654" t="str">
            <v>Dubai</v>
          </cell>
        </row>
        <row r="655">
          <cell r="A655" t="str">
            <v>X23941258</v>
          </cell>
          <cell r="C655" t="str">
            <v>Jumeirah Maldives Olhahali Island - Maldives - Yahala</v>
          </cell>
          <cell r="D655" t="str">
            <v>Package</v>
          </cell>
          <cell r="E655">
            <v>46023</v>
          </cell>
          <cell r="F655" t="str">
            <v>31/12/2026</v>
          </cell>
          <cell r="G655" t="str">
            <v>2026 YaHala Exclusive Hotels - Dubai Offers</v>
          </cell>
          <cell r="H655" t="str">
            <v>a0CTi00005KAoAiMAL</v>
          </cell>
          <cell r="I655" t="str">
            <v>L26DBYATR</v>
          </cell>
          <cell r="J655" t="str">
            <v>Active</v>
          </cell>
          <cell r="K655">
            <v>46031</v>
          </cell>
          <cell r="L655" t="str">
            <v>Dubai</v>
          </cell>
        </row>
        <row r="656">
          <cell r="A656" t="str">
            <v>X23955931</v>
          </cell>
          <cell r="C656" t="str">
            <v>Rosewood London Hotel - UK - Yahala</v>
          </cell>
          <cell r="D656" t="str">
            <v>Package</v>
          </cell>
          <cell r="E656">
            <v>46023</v>
          </cell>
          <cell r="F656" t="str">
            <v>31/12/2026</v>
          </cell>
          <cell r="G656" t="str">
            <v>2026 YaHala Exclusive Hotels - Dubai Offers</v>
          </cell>
          <cell r="H656" t="str">
            <v>a0CTi00005KAoAiMAL</v>
          </cell>
          <cell r="I656" t="str">
            <v>L26DBYATR</v>
          </cell>
          <cell r="J656" t="str">
            <v>Active</v>
          </cell>
          <cell r="K656">
            <v>46031</v>
          </cell>
          <cell r="L656" t="str">
            <v>Dubai</v>
          </cell>
        </row>
        <row r="657">
          <cell r="A657" t="str">
            <v>X23881344</v>
          </cell>
          <cell r="C657" t="str">
            <v>Address Hotels &amp; Resorts Dubai</v>
          </cell>
          <cell r="D657" t="str">
            <v>Package</v>
          </cell>
          <cell r="E657">
            <v>46023</v>
          </cell>
          <cell r="F657" t="str">
            <v>31/12/2026</v>
          </cell>
          <cell r="G657" t="str">
            <v>2026 YaHala Exclusive Hotels - Dubai Offers</v>
          </cell>
          <cell r="H657" t="str">
            <v>a0CTi00005KAoAiMAL</v>
          </cell>
          <cell r="I657" t="str">
            <v>L26DBYATR</v>
          </cell>
          <cell r="J657" t="str">
            <v>Active</v>
          </cell>
          <cell r="K657">
            <v>46032</v>
          </cell>
          <cell r="L657" t="str">
            <v>Dubai</v>
          </cell>
        </row>
        <row r="658">
          <cell r="A658" t="str">
            <v>X23881346</v>
          </cell>
          <cell r="C658" t="str">
            <v>Vida Hotels &amp; Resorts</v>
          </cell>
          <cell r="D658" t="str">
            <v>Package</v>
          </cell>
          <cell r="E658">
            <v>46023</v>
          </cell>
          <cell r="F658" t="str">
            <v>31/12/2026</v>
          </cell>
          <cell r="G658" t="str">
            <v>2026 YaHala Exclusive Hotels - Dubai Offers</v>
          </cell>
          <cell r="H658" t="str">
            <v>a0CTi00005KAoAiMAL</v>
          </cell>
          <cell r="I658" t="str">
            <v>L26DBYATR</v>
          </cell>
          <cell r="J658" t="str">
            <v>Active</v>
          </cell>
          <cell r="K658">
            <v>46032</v>
          </cell>
          <cell r="L658" t="str">
            <v>Dubai</v>
          </cell>
        </row>
        <row r="659">
          <cell r="A659" t="str">
            <v>X23891909</v>
          </cell>
          <cell r="C659" t="str">
            <v>Al Habtoor Palace Hotel</v>
          </cell>
          <cell r="D659" t="str">
            <v>Package</v>
          </cell>
          <cell r="E659">
            <v>46023</v>
          </cell>
          <cell r="F659" t="str">
            <v>31/12/2026</v>
          </cell>
          <cell r="G659" t="str">
            <v>2026 YaHala Exclusive Hotels - Dubai Offers</v>
          </cell>
          <cell r="H659" t="str">
            <v>a0CTi00005KAoAiMAL</v>
          </cell>
          <cell r="I659" t="str">
            <v>L26DBYATR</v>
          </cell>
          <cell r="J659" t="str">
            <v>Active</v>
          </cell>
          <cell r="K659">
            <v>46000</v>
          </cell>
          <cell r="L659" t="str">
            <v>Dubai</v>
          </cell>
        </row>
        <row r="660">
          <cell r="A660" t="str">
            <v>X23174890</v>
          </cell>
          <cell r="C660" t="str">
            <v>Waldorf Astoria - Ras Al Khaimah</v>
          </cell>
          <cell r="D660" t="str">
            <v>Package</v>
          </cell>
          <cell r="E660">
            <v>46023</v>
          </cell>
          <cell r="F660" t="str">
            <v>31/12/2026</v>
          </cell>
          <cell r="G660" t="str">
            <v>2026 YaHala Exclusive Hotels - Dubai Offers</v>
          </cell>
          <cell r="H660" t="str">
            <v>a0CTi00005KAoAiMAL</v>
          </cell>
          <cell r="I660" t="str">
            <v>L26DBYATR</v>
          </cell>
          <cell r="J660" t="str">
            <v>Active</v>
          </cell>
          <cell r="K660">
            <v>46000</v>
          </cell>
          <cell r="L660" t="str">
            <v>Dubai</v>
          </cell>
        </row>
        <row r="661">
          <cell r="A661" t="str">
            <v>X23174761</v>
          </cell>
          <cell r="C661" t="str">
            <v>Raffles Dubai</v>
          </cell>
          <cell r="D661" t="str">
            <v>Package</v>
          </cell>
          <cell r="E661">
            <v>46023</v>
          </cell>
          <cell r="F661" t="str">
            <v>31/12/2026</v>
          </cell>
          <cell r="G661" t="str">
            <v>2026 YaHala Exclusive Hotels - Dubai Offers</v>
          </cell>
          <cell r="H661" t="str">
            <v>a0CTi00005KAoAiMAL</v>
          </cell>
          <cell r="I661" t="str">
            <v>L26DBYATR</v>
          </cell>
          <cell r="J661" t="str">
            <v>Active</v>
          </cell>
          <cell r="K661">
            <v>46000</v>
          </cell>
          <cell r="L661" t="str">
            <v>Dubai</v>
          </cell>
        </row>
        <row r="662">
          <cell r="A662" t="str">
            <v>X23172625</v>
          </cell>
          <cell r="C662" t="str">
            <v>Bab Al Shams Desert Resort &amp; Spa</v>
          </cell>
          <cell r="D662" t="str">
            <v>Package</v>
          </cell>
          <cell r="E662">
            <v>46023</v>
          </cell>
          <cell r="F662" t="str">
            <v>31/12/2026</v>
          </cell>
          <cell r="G662" t="str">
            <v>2026 YaHala Exclusive Hotels - Dubai Offers</v>
          </cell>
          <cell r="H662" t="str">
            <v>a0CTi00005KAoAiMAL</v>
          </cell>
          <cell r="I662" t="str">
            <v>L26DBYATR</v>
          </cell>
          <cell r="J662" t="str">
            <v>Active</v>
          </cell>
          <cell r="K662">
            <v>46000</v>
          </cell>
          <cell r="L662" t="str">
            <v>Dubai</v>
          </cell>
        </row>
        <row r="663">
          <cell r="A663" t="str">
            <v>X23881766</v>
          </cell>
          <cell r="C663" t="str">
            <v>Fairmont Makkah Clock Royal Tower</v>
          </cell>
          <cell r="D663" t="str">
            <v>Package</v>
          </cell>
          <cell r="E663">
            <v>46023</v>
          </cell>
          <cell r="F663" t="str">
            <v>31/12/2026</v>
          </cell>
          <cell r="G663" t="str">
            <v>2026 YaHala Exclusive Hotels - Dubai Offers</v>
          </cell>
          <cell r="H663" t="str">
            <v>a0CTi00005KAoAiMAL</v>
          </cell>
          <cell r="I663" t="str">
            <v>L26DBYATR</v>
          </cell>
          <cell r="J663" t="str">
            <v>Active</v>
          </cell>
          <cell r="K663">
            <v>46000</v>
          </cell>
          <cell r="L663" t="str">
            <v>Dubai</v>
          </cell>
        </row>
        <row r="664">
          <cell r="A664" t="str">
            <v>X23143107</v>
          </cell>
          <cell r="C664" t="str">
            <v>Shangri-La Hotel Dubai</v>
          </cell>
          <cell r="D664" t="str">
            <v>Package</v>
          </cell>
          <cell r="E664">
            <v>46023</v>
          </cell>
          <cell r="F664" t="str">
            <v>31/12/2026</v>
          </cell>
          <cell r="G664" t="str">
            <v>2026 YaHala Exclusive Hotels - Dubai Offers</v>
          </cell>
          <cell r="H664" t="str">
            <v>a0CTi00005KAoAiMAL</v>
          </cell>
          <cell r="I664" t="str">
            <v>L26DBYATR</v>
          </cell>
          <cell r="J664" t="str">
            <v>Active</v>
          </cell>
          <cell r="K664">
            <v>46000</v>
          </cell>
          <cell r="L664" t="str">
            <v>Dubai</v>
          </cell>
        </row>
        <row r="665">
          <cell r="A665" t="str">
            <v>X23930174</v>
          </cell>
          <cell r="C665" t="str">
            <v>Lapita, Dubai Parks &amp; Resorts, Autograph Collection</v>
          </cell>
          <cell r="D665" t="str">
            <v>Package</v>
          </cell>
          <cell r="E665">
            <v>46023</v>
          </cell>
          <cell r="F665" t="str">
            <v>31/12/2026</v>
          </cell>
          <cell r="G665" t="str">
            <v>2026 YaHala Exclusive Hotels - Dubai Offers</v>
          </cell>
          <cell r="H665" t="str">
            <v>a0CTi00005KAoAiMAL</v>
          </cell>
          <cell r="I665" t="str">
            <v>L26DBYATR</v>
          </cell>
          <cell r="J665" t="str">
            <v>Active</v>
          </cell>
          <cell r="K665">
            <v>46184</v>
          </cell>
          <cell r="L665" t="str">
            <v>Dubai</v>
          </cell>
        </row>
        <row r="666">
          <cell r="A666" t="str">
            <v>X036552</v>
          </cell>
          <cell r="C666" t="str">
            <v>Cuba</v>
          </cell>
          <cell r="D666" t="str">
            <v>% Off</v>
          </cell>
          <cell r="E666">
            <v>44927</v>
          </cell>
          <cell r="F666" t="str">
            <v>16/01/2026</v>
          </cell>
          <cell r="G666" t="str">
            <v>YaHala Card - Dubai Offers 2025</v>
          </cell>
          <cell r="H666" t="str">
            <v>a0C3V00000IxCzPUAV</v>
          </cell>
          <cell r="I666" t="str">
            <v>L25DBYACA</v>
          </cell>
          <cell r="J666" t="str">
            <v>Active</v>
          </cell>
          <cell r="K666">
            <v>44924</v>
          </cell>
          <cell r="L666" t="str">
            <v>Dubai</v>
          </cell>
        </row>
        <row r="667">
          <cell r="A667" t="str">
            <v>X224027</v>
          </cell>
          <cell r="C667" t="str">
            <v>Talise Ottoman Spa</v>
          </cell>
          <cell r="D667" t="str">
            <v>% Off</v>
          </cell>
          <cell r="E667" t="str">
            <v>13/04/2023</v>
          </cell>
          <cell r="F667" t="str">
            <v>20/03/2026</v>
          </cell>
          <cell r="G667" t="str">
            <v>YaHala Card - Dubai Offers 2025</v>
          </cell>
          <cell r="H667" t="str">
            <v>a0C3V00000IxCzPUAV</v>
          </cell>
          <cell r="I667" t="str">
            <v>L25DBYACA</v>
          </cell>
          <cell r="J667" t="str">
            <v>Active</v>
          </cell>
          <cell r="K667">
            <v>45030</v>
          </cell>
          <cell r="L667" t="str">
            <v>Dubai</v>
          </cell>
        </row>
        <row r="668">
          <cell r="A668" t="str">
            <v>X23910199</v>
          </cell>
          <cell r="C668" t="str">
            <v>CENTREPOINT</v>
          </cell>
          <cell r="D668" t="str">
            <v>% Off</v>
          </cell>
          <cell r="E668">
            <v>45172</v>
          </cell>
          <cell r="F668" t="str">
            <v>28/10/2026</v>
          </cell>
          <cell r="G668" t="str">
            <v>YaHala Card - Dubai Offers 2025</v>
          </cell>
          <cell r="H668" t="str">
            <v>a0C3V00000IxCzPUAV</v>
          </cell>
          <cell r="I668" t="str">
            <v>L25DBYACA</v>
          </cell>
          <cell r="J668" t="str">
            <v>Active</v>
          </cell>
          <cell r="K668">
            <v>44993</v>
          </cell>
          <cell r="L668" t="str">
            <v>Dubai</v>
          </cell>
        </row>
        <row r="669">
          <cell r="A669" t="str">
            <v>X23880949</v>
          </cell>
          <cell r="C669" t="str">
            <v>The One</v>
          </cell>
          <cell r="D669" t="str">
            <v>% Off</v>
          </cell>
          <cell r="E669">
            <v>44927</v>
          </cell>
          <cell r="F669" t="str">
            <v>31/03/2026</v>
          </cell>
          <cell r="G669" t="str">
            <v>YaHala Card - Dubai Offers 2025</v>
          </cell>
          <cell r="H669" t="str">
            <v>a0C3V00000IxCzPUAV</v>
          </cell>
          <cell r="I669" t="str">
            <v>L25DBYACA</v>
          </cell>
          <cell r="J669" t="str">
            <v>Active</v>
          </cell>
          <cell r="K669">
            <v>45008</v>
          </cell>
          <cell r="L669" t="str">
            <v>Dubai</v>
          </cell>
        </row>
        <row r="670">
          <cell r="A670" t="str">
            <v>X23885160</v>
          </cell>
          <cell r="C670" t="str">
            <v>Nord Anglia International School</v>
          </cell>
          <cell r="D670" t="str">
            <v>% Off</v>
          </cell>
          <cell r="E670">
            <v>45661</v>
          </cell>
          <cell r="F670">
            <v>46026</v>
          </cell>
          <cell r="G670" t="str">
            <v>YaHala Card - Dubai Offers 2025</v>
          </cell>
          <cell r="H670" t="str">
            <v>a0C3V00000IxCzPUAV</v>
          </cell>
          <cell r="I670" t="str">
            <v>L25DBYACA</v>
          </cell>
          <cell r="J670" t="str">
            <v>Active</v>
          </cell>
          <cell r="K670">
            <v>45009</v>
          </cell>
          <cell r="L670" t="str">
            <v>Dubai</v>
          </cell>
        </row>
        <row r="671">
          <cell r="A671" t="str">
            <v>X23942102</v>
          </cell>
          <cell r="C671" t="str">
            <v>S.T. Dupont - Ahmed Seddiqi &amp; Sons</v>
          </cell>
          <cell r="D671" t="str">
            <v>% Off</v>
          </cell>
          <cell r="E671">
            <v>44562</v>
          </cell>
          <cell r="F671" t="str">
            <v>31/12/2030</v>
          </cell>
          <cell r="G671" t="str">
            <v>YaHala Card - Dubai Offers 2025</v>
          </cell>
          <cell r="H671" t="str">
            <v>a0C3V00000IxCzPUAV</v>
          </cell>
          <cell r="I671" t="str">
            <v>L25DBYACA</v>
          </cell>
          <cell r="J671" t="str">
            <v>Active</v>
          </cell>
          <cell r="K671">
            <v>45321</v>
          </cell>
          <cell r="L671" t="str">
            <v>Dubai</v>
          </cell>
        </row>
        <row r="672">
          <cell r="A672" t="str">
            <v>X23934228</v>
          </cell>
          <cell r="C672" t="str">
            <v>Wavehouse</v>
          </cell>
          <cell r="D672" t="str">
            <v>% Off</v>
          </cell>
          <cell r="E672">
            <v>44562</v>
          </cell>
          <cell r="F672" t="str">
            <v>19/04/2026</v>
          </cell>
          <cell r="G672" t="str">
            <v>YaHala Card - Dubai Offers 2025</v>
          </cell>
          <cell r="H672" t="str">
            <v>a0C3V00000IxCzPUAV</v>
          </cell>
          <cell r="I672" t="str">
            <v>L25DBYACA</v>
          </cell>
          <cell r="J672" t="str">
            <v>Active</v>
          </cell>
          <cell r="K672">
            <v>45411</v>
          </cell>
          <cell r="L672" t="str">
            <v>Dubai</v>
          </cell>
        </row>
        <row r="673">
          <cell r="A673" t="str">
            <v>X23934224</v>
          </cell>
          <cell r="C673" t="str">
            <v>Street Pizza</v>
          </cell>
          <cell r="D673" t="str">
            <v>% Off</v>
          </cell>
          <cell r="E673">
            <v>45292</v>
          </cell>
          <cell r="F673" t="str">
            <v>19/04/2026</v>
          </cell>
          <cell r="G673" t="str">
            <v>YaHala Card - Dubai Offers 2025</v>
          </cell>
          <cell r="H673" t="str">
            <v>a0C3V00000IxCzPUAV</v>
          </cell>
          <cell r="I673" t="str">
            <v>L25DBYACA</v>
          </cell>
          <cell r="J673" t="str">
            <v>Active</v>
          </cell>
          <cell r="K673">
            <v>45411</v>
          </cell>
          <cell r="L673" t="str">
            <v>Dubai</v>
          </cell>
        </row>
        <row r="674">
          <cell r="A674" t="str">
            <v>X23453929</v>
          </cell>
          <cell r="C674" t="str">
            <v>Nobu</v>
          </cell>
          <cell r="D674" t="str">
            <v>% Off</v>
          </cell>
          <cell r="E674">
            <v>45292</v>
          </cell>
          <cell r="F674" t="str">
            <v>19/04/2026</v>
          </cell>
          <cell r="G674" t="str">
            <v>YaHala Card - Dubai Offers 2025</v>
          </cell>
          <cell r="H674" t="str">
            <v>a0C3V00000IxCzPUAV</v>
          </cell>
          <cell r="I674" t="str">
            <v>L25DBYACA</v>
          </cell>
          <cell r="J674" t="str">
            <v>Active</v>
          </cell>
          <cell r="K674">
            <v>45411</v>
          </cell>
          <cell r="L674" t="str">
            <v>Dubai</v>
          </cell>
        </row>
        <row r="675">
          <cell r="A675" t="str">
            <v>X035555</v>
          </cell>
          <cell r="C675" t="str">
            <v>Seafire</v>
          </cell>
          <cell r="D675" t="str">
            <v>% Off</v>
          </cell>
          <cell r="E675">
            <v>45292</v>
          </cell>
          <cell r="F675" t="str">
            <v>19/04/2026</v>
          </cell>
          <cell r="G675" t="str">
            <v>YaHala Card - Dubai Offers 2025</v>
          </cell>
          <cell r="H675" t="str">
            <v>a0C3V00000IxCzPUAV</v>
          </cell>
          <cell r="I675" t="str">
            <v>L25DBYACA</v>
          </cell>
          <cell r="J675" t="str">
            <v>Active</v>
          </cell>
          <cell r="K675">
            <v>45411</v>
          </cell>
          <cell r="L675" t="str">
            <v>Dubai</v>
          </cell>
        </row>
        <row r="676">
          <cell r="A676" t="str">
            <v>X23934227</v>
          </cell>
          <cell r="C676" t="str">
            <v>White Restaurant</v>
          </cell>
          <cell r="D676" t="str">
            <v>% Off</v>
          </cell>
          <cell r="E676">
            <v>45292</v>
          </cell>
          <cell r="F676" t="str">
            <v>19/04/2026</v>
          </cell>
          <cell r="G676" t="str">
            <v>YaHala Card - Dubai Offers 2025</v>
          </cell>
          <cell r="H676" t="str">
            <v>a0C3V00000IxCzPUAV</v>
          </cell>
          <cell r="I676" t="str">
            <v>L25DBYACA</v>
          </cell>
          <cell r="J676" t="str">
            <v>Active</v>
          </cell>
          <cell r="K676">
            <v>45411</v>
          </cell>
          <cell r="L676" t="str">
            <v>Dubai</v>
          </cell>
        </row>
        <row r="677">
          <cell r="A677" t="str">
            <v>X035546</v>
          </cell>
          <cell r="C677" t="str">
            <v>Kaleidoscope</v>
          </cell>
          <cell r="D677" t="str">
            <v>% Off</v>
          </cell>
          <cell r="E677">
            <v>44562</v>
          </cell>
          <cell r="F677" t="str">
            <v>19/04/2026</v>
          </cell>
          <cell r="G677" t="str">
            <v>YaHala Card - Dubai Offers 2025</v>
          </cell>
          <cell r="H677" t="str">
            <v>a0C3V00000IxCzPUAV</v>
          </cell>
          <cell r="I677" t="str">
            <v>L25DBYACA</v>
          </cell>
          <cell r="J677" t="str">
            <v>Active</v>
          </cell>
          <cell r="K677">
            <v>45411</v>
          </cell>
          <cell r="L677" t="str">
            <v>Dubai</v>
          </cell>
        </row>
        <row r="678">
          <cell r="A678" t="str">
            <v>X23453930</v>
          </cell>
          <cell r="C678" t="str">
            <v>Ossiano</v>
          </cell>
          <cell r="D678" t="str">
            <v>% Off</v>
          </cell>
          <cell r="E678">
            <v>44562</v>
          </cell>
          <cell r="F678" t="str">
            <v>19/04/2026</v>
          </cell>
          <cell r="G678" t="str">
            <v>YaHala Card - Dubai Offers 2025</v>
          </cell>
          <cell r="H678" t="str">
            <v>a0C3V00000IxCzPUAV</v>
          </cell>
          <cell r="I678" t="str">
            <v>L25DBYACA</v>
          </cell>
          <cell r="J678" t="str">
            <v>Active</v>
          </cell>
          <cell r="K678">
            <v>45411</v>
          </cell>
          <cell r="L678" t="str">
            <v>Dubai</v>
          </cell>
        </row>
        <row r="679">
          <cell r="A679" t="str">
            <v>X23934225</v>
          </cell>
          <cell r="C679" t="str">
            <v>Hakkasan</v>
          </cell>
          <cell r="D679" t="str">
            <v>% Off</v>
          </cell>
          <cell r="E679">
            <v>44562</v>
          </cell>
          <cell r="F679" t="str">
            <v>19/04/2026</v>
          </cell>
          <cell r="G679" t="str">
            <v>YaHala Card - Dubai Offers 2025</v>
          </cell>
          <cell r="H679" t="str">
            <v>a0C3V00000IxCzPUAV</v>
          </cell>
          <cell r="I679" t="str">
            <v>L25DBYACA</v>
          </cell>
          <cell r="J679" t="str">
            <v>Active</v>
          </cell>
          <cell r="K679">
            <v>45411</v>
          </cell>
          <cell r="L679" t="str">
            <v>Dubai</v>
          </cell>
        </row>
        <row r="680">
          <cell r="A680" t="str">
            <v>X23934226</v>
          </cell>
          <cell r="C680" t="str">
            <v>En Fuego - Atlantis The Palm</v>
          </cell>
          <cell r="D680" t="str">
            <v>% Off</v>
          </cell>
          <cell r="E680">
            <v>44562</v>
          </cell>
          <cell r="F680" t="str">
            <v>16/04/2026</v>
          </cell>
          <cell r="G680" t="str">
            <v>YaHala Card - Dubai Offers 2025</v>
          </cell>
          <cell r="H680" t="str">
            <v>a0C3V00000IxCzPUAV</v>
          </cell>
          <cell r="I680" t="str">
            <v>L25DBYACA</v>
          </cell>
          <cell r="J680" t="str">
            <v>Active</v>
          </cell>
          <cell r="K680">
            <v>45411</v>
          </cell>
          <cell r="L680" t="str">
            <v>Dubai</v>
          </cell>
        </row>
        <row r="681">
          <cell r="A681" t="str">
            <v>X22300762</v>
          </cell>
          <cell r="C681" t="str">
            <v>Ayamna</v>
          </cell>
          <cell r="D681" t="str">
            <v>% Off</v>
          </cell>
          <cell r="E681">
            <v>45292</v>
          </cell>
          <cell r="F681" t="str">
            <v>19/04/2026</v>
          </cell>
          <cell r="G681" t="str">
            <v>YaHala Card - Dubai Offers 2025</v>
          </cell>
          <cell r="H681" t="str">
            <v>a0C3V00000IxCzPUAV</v>
          </cell>
          <cell r="I681" t="str">
            <v>L25DBYACA</v>
          </cell>
          <cell r="J681" t="str">
            <v>Active</v>
          </cell>
          <cell r="K681">
            <v>45411</v>
          </cell>
          <cell r="L681" t="str">
            <v>Dubai</v>
          </cell>
        </row>
        <row r="682">
          <cell r="A682" t="str">
            <v>X22352096</v>
          </cell>
          <cell r="C682" t="str">
            <v>Bread Street Kitchen &amp; Bar</v>
          </cell>
          <cell r="D682" t="str">
            <v>% Off</v>
          </cell>
          <cell r="E682">
            <v>44562</v>
          </cell>
          <cell r="F682" t="str">
            <v>19/04/2026</v>
          </cell>
          <cell r="G682" t="str">
            <v>YaHala Card - Dubai Offers 2025</v>
          </cell>
          <cell r="H682" t="str">
            <v>a0C3V00000IxCzPUAV</v>
          </cell>
          <cell r="I682" t="str">
            <v>L25DBYACA</v>
          </cell>
          <cell r="J682" t="str">
            <v>Active</v>
          </cell>
          <cell r="K682">
            <v>45411</v>
          </cell>
          <cell r="L682" t="str">
            <v>Dubai</v>
          </cell>
        </row>
        <row r="683">
          <cell r="A683" t="str">
            <v>X23934239</v>
          </cell>
          <cell r="C683" t="str">
            <v>Nobu by the Beach</v>
          </cell>
          <cell r="D683" t="str">
            <v>% Off</v>
          </cell>
          <cell r="E683">
            <v>44562</v>
          </cell>
          <cell r="F683" t="str">
            <v>19/04/2026</v>
          </cell>
          <cell r="G683" t="str">
            <v>YaHala Card - Dubai Offers 2025</v>
          </cell>
          <cell r="H683" t="str">
            <v>a0C3V00000IxCzPUAV</v>
          </cell>
          <cell r="I683" t="str">
            <v>L25DBYACA</v>
          </cell>
          <cell r="J683" t="str">
            <v>Active</v>
          </cell>
          <cell r="K683">
            <v>45411</v>
          </cell>
          <cell r="L683" t="str">
            <v>Dubai</v>
          </cell>
        </row>
        <row r="684">
          <cell r="A684" t="str">
            <v>X035554</v>
          </cell>
          <cell r="C684" t="str">
            <v>Saffron - Atlantis The Palm</v>
          </cell>
          <cell r="D684" t="str">
            <v>% Off</v>
          </cell>
          <cell r="E684">
            <v>44562</v>
          </cell>
          <cell r="F684" t="str">
            <v>19/04/2026</v>
          </cell>
          <cell r="G684" t="str">
            <v>YaHala Card - Dubai Offers 2025</v>
          </cell>
          <cell r="H684" t="str">
            <v>a0C3V00000IxCzPUAV</v>
          </cell>
          <cell r="I684" t="str">
            <v>L25DBYACA</v>
          </cell>
          <cell r="J684" t="str">
            <v>Active</v>
          </cell>
          <cell r="K684">
            <v>45411</v>
          </cell>
          <cell r="L684" t="str">
            <v>Dubai</v>
          </cell>
        </row>
        <row r="685">
          <cell r="A685" t="str">
            <v>X23934231</v>
          </cell>
          <cell r="C685" t="str">
            <v>Dinner by Heston</v>
          </cell>
          <cell r="D685" t="str">
            <v>% Off</v>
          </cell>
          <cell r="E685">
            <v>44562</v>
          </cell>
          <cell r="F685" t="str">
            <v>19/04/2026</v>
          </cell>
          <cell r="G685" t="str">
            <v>YaHala Card - Dubai Offers 2025</v>
          </cell>
          <cell r="H685" t="str">
            <v>a0C3V00000IxCzPUAV</v>
          </cell>
          <cell r="I685" t="str">
            <v>L25DBYACA</v>
          </cell>
          <cell r="J685" t="str">
            <v>Active</v>
          </cell>
          <cell r="K685">
            <v>45411</v>
          </cell>
          <cell r="L685" t="str">
            <v>Dubai</v>
          </cell>
        </row>
        <row r="686">
          <cell r="A686" t="str">
            <v>X23934233</v>
          </cell>
          <cell r="C686" t="str">
            <v>The Royal Tea Room</v>
          </cell>
          <cell r="D686" t="str">
            <v>% Off</v>
          </cell>
          <cell r="E686">
            <v>44562</v>
          </cell>
          <cell r="F686" t="str">
            <v>19/04/2026</v>
          </cell>
          <cell r="G686" t="str">
            <v>YaHala Card - Dubai Offers 2025</v>
          </cell>
          <cell r="H686" t="str">
            <v>a0C3V00000IxCzPUAV</v>
          </cell>
          <cell r="I686" t="str">
            <v>L25DBYACA</v>
          </cell>
          <cell r="J686" t="str">
            <v>Active</v>
          </cell>
          <cell r="K686">
            <v>45411</v>
          </cell>
          <cell r="L686" t="str">
            <v>Dubai</v>
          </cell>
        </row>
        <row r="687">
          <cell r="A687" t="str">
            <v>X23934232</v>
          </cell>
          <cell r="C687" t="str">
            <v>La Mar</v>
          </cell>
          <cell r="D687" t="str">
            <v>% Off</v>
          </cell>
          <cell r="E687">
            <v>44562</v>
          </cell>
          <cell r="F687" t="str">
            <v>19/04/2026</v>
          </cell>
          <cell r="G687" t="str">
            <v>YaHala Card - Dubai Offers 2025</v>
          </cell>
          <cell r="H687" t="str">
            <v>a0C3V00000IxCzPUAV</v>
          </cell>
          <cell r="I687" t="str">
            <v>L25DBYACA</v>
          </cell>
          <cell r="J687" t="str">
            <v>Active</v>
          </cell>
          <cell r="K687">
            <v>45411</v>
          </cell>
          <cell r="L687" t="str">
            <v>Dubai</v>
          </cell>
        </row>
        <row r="688">
          <cell r="A688" t="str">
            <v>X23934235</v>
          </cell>
          <cell r="C688" t="str">
            <v>Malibu</v>
          </cell>
          <cell r="D688" t="str">
            <v>% Off</v>
          </cell>
          <cell r="E688">
            <v>44562</v>
          </cell>
          <cell r="F688" t="str">
            <v>19/04/2026</v>
          </cell>
          <cell r="G688" t="str">
            <v>YaHala Card - Dubai Offers 2025</v>
          </cell>
          <cell r="H688" t="str">
            <v>a0C3V00000IxCzPUAV</v>
          </cell>
          <cell r="I688" t="str">
            <v>L25DBYACA</v>
          </cell>
          <cell r="J688" t="str">
            <v>Active</v>
          </cell>
          <cell r="K688">
            <v>45411</v>
          </cell>
          <cell r="L688" t="str">
            <v>Dubai</v>
          </cell>
        </row>
        <row r="689">
          <cell r="A689" t="str">
            <v>X23934238</v>
          </cell>
          <cell r="C689" t="str">
            <v>Ling Ling</v>
          </cell>
          <cell r="D689" t="str">
            <v>% Off</v>
          </cell>
          <cell r="E689">
            <v>44562</v>
          </cell>
          <cell r="F689" t="str">
            <v>19/04/2026</v>
          </cell>
          <cell r="G689" t="str">
            <v>YaHala Card - Dubai Offers 2025</v>
          </cell>
          <cell r="H689" t="str">
            <v>a0C3V00000IxCzPUAV</v>
          </cell>
          <cell r="I689" t="str">
            <v>L25DBYACA</v>
          </cell>
          <cell r="J689" t="str">
            <v>Active</v>
          </cell>
          <cell r="K689">
            <v>45411</v>
          </cell>
          <cell r="L689" t="str">
            <v>Dubai</v>
          </cell>
        </row>
        <row r="690">
          <cell r="A690" t="str">
            <v>X036783</v>
          </cell>
          <cell r="C690" t="str">
            <v>Talise Spa</v>
          </cell>
          <cell r="D690" t="str">
            <v>% Off</v>
          </cell>
          <cell r="E690">
            <v>45292</v>
          </cell>
          <cell r="F690" t="str">
            <v>16/08/2026</v>
          </cell>
          <cell r="G690" t="str">
            <v>YaHala Card - Dubai Offers 2025</v>
          </cell>
          <cell r="H690" t="str">
            <v>a0C3V00000IxCzPUAV</v>
          </cell>
          <cell r="I690" t="str">
            <v>L25DBYACA</v>
          </cell>
          <cell r="J690" t="str">
            <v>Active</v>
          </cell>
          <cell r="K690">
            <v>45526</v>
          </cell>
          <cell r="L690" t="str">
            <v>Dubai</v>
          </cell>
        </row>
        <row r="691">
          <cell r="A691" t="str">
            <v>X23945889</v>
          </cell>
          <cell r="C691" t="str">
            <v>Garden Pool Bar</v>
          </cell>
          <cell r="D691" t="str">
            <v>% Off</v>
          </cell>
          <cell r="E691">
            <v>44562</v>
          </cell>
          <cell r="F691" t="str">
            <v>31/12/2030</v>
          </cell>
          <cell r="G691" t="str">
            <v>YaHala Card - Dubai Offers 2025</v>
          </cell>
          <cell r="H691" t="str">
            <v>a0C3V00000IxCzPUAV</v>
          </cell>
          <cell r="I691" t="str">
            <v>L25DBYACA</v>
          </cell>
          <cell r="J691" t="str">
            <v>Active</v>
          </cell>
          <cell r="K691">
            <v>45644</v>
          </cell>
          <cell r="L691" t="str">
            <v>Dubai</v>
          </cell>
        </row>
        <row r="692">
          <cell r="A692" t="str">
            <v>X23945888</v>
          </cell>
          <cell r="C692" t="str">
            <v>StreetXO</v>
          </cell>
          <cell r="D692" t="str">
            <v>% Off</v>
          </cell>
          <cell r="E692">
            <v>44562</v>
          </cell>
          <cell r="F692" t="str">
            <v>31/12/2030</v>
          </cell>
          <cell r="G692" t="str">
            <v>YaHala Card - Dubai Offers 2025</v>
          </cell>
          <cell r="H692" t="str">
            <v>a0C3V00000IxCzPUAV</v>
          </cell>
          <cell r="I692" t="str">
            <v>L25DBYACA</v>
          </cell>
          <cell r="J692" t="str">
            <v>Active</v>
          </cell>
          <cell r="K692">
            <v>45644</v>
          </cell>
          <cell r="L692" t="str">
            <v>Dubai</v>
          </cell>
        </row>
        <row r="693">
          <cell r="A693" t="str">
            <v>X23880432</v>
          </cell>
          <cell r="C693" t="str">
            <v>Jet Set Salons</v>
          </cell>
          <cell r="D693" t="str">
            <v>% Off</v>
          </cell>
          <cell r="E693">
            <v>45658</v>
          </cell>
          <cell r="F693" t="str">
            <v>31/12/2026</v>
          </cell>
          <cell r="G693" t="str">
            <v>YaHala Card - Dubai Offers 2025</v>
          </cell>
          <cell r="H693" t="str">
            <v>a0C3V00000IxCzPUAV</v>
          </cell>
          <cell r="I693" t="str">
            <v>L25DBYACA</v>
          </cell>
          <cell r="J693" t="str">
            <v>Active</v>
          </cell>
          <cell r="K693">
            <v>45645</v>
          </cell>
          <cell r="L693" t="str">
            <v>Dubai</v>
          </cell>
        </row>
        <row r="694">
          <cell r="A694" t="str">
            <v>X23880435</v>
          </cell>
          <cell r="C694" t="str">
            <v>1847 Salons</v>
          </cell>
          <cell r="D694" t="str">
            <v>% Off</v>
          </cell>
          <cell r="E694">
            <v>45658</v>
          </cell>
          <cell r="F694" t="str">
            <v>31/12/2026</v>
          </cell>
          <cell r="G694" t="str">
            <v>YaHala Card - Dubai Offers 2025</v>
          </cell>
          <cell r="H694" t="str">
            <v>a0C3V00000IxCzPUAV</v>
          </cell>
          <cell r="I694" t="str">
            <v>L25DBYACA</v>
          </cell>
          <cell r="J694" t="str">
            <v>Active</v>
          </cell>
          <cell r="K694">
            <v>45645</v>
          </cell>
          <cell r="L694" t="str">
            <v>Dubai</v>
          </cell>
        </row>
        <row r="695">
          <cell r="A695" t="str">
            <v>X23880433</v>
          </cell>
          <cell r="C695" t="str">
            <v>N.Bar</v>
          </cell>
          <cell r="D695" t="str">
            <v>% Off</v>
          </cell>
          <cell r="E695">
            <v>45658</v>
          </cell>
          <cell r="F695" t="str">
            <v>31/12/2026</v>
          </cell>
          <cell r="G695" t="str">
            <v>YaHala Card - Dubai Offers 2025</v>
          </cell>
          <cell r="H695" t="str">
            <v>a0C3V00000IxCzPUAV</v>
          </cell>
          <cell r="I695" t="str">
            <v>L25DBYACA</v>
          </cell>
          <cell r="J695" t="str">
            <v>Active</v>
          </cell>
          <cell r="K695">
            <v>45645</v>
          </cell>
          <cell r="L695" t="str">
            <v>Dubai</v>
          </cell>
        </row>
        <row r="696">
          <cell r="A696" t="str">
            <v>X23881334</v>
          </cell>
          <cell r="C696" t="str">
            <v>British Orchard Nursery</v>
          </cell>
          <cell r="D696" t="str">
            <v>% Off</v>
          </cell>
          <cell r="E696">
            <v>45658</v>
          </cell>
          <cell r="F696" t="str">
            <v>30/09/2026</v>
          </cell>
          <cell r="G696" t="str">
            <v>YaHala Card - Dubai Offers 2025</v>
          </cell>
          <cell r="H696" t="str">
            <v>a0C3V00000IxCzPUAV</v>
          </cell>
          <cell r="I696" t="str">
            <v>L25DBYACA</v>
          </cell>
          <cell r="J696" t="str">
            <v>Active</v>
          </cell>
          <cell r="K696">
            <v>45673</v>
          </cell>
          <cell r="L696" t="str">
            <v>Dubai</v>
          </cell>
        </row>
        <row r="697">
          <cell r="A697" t="str">
            <v>X23951159</v>
          </cell>
          <cell r="C697" t="str">
            <v>Nuska Beach</v>
          </cell>
          <cell r="D697" t="str">
            <v>% Off</v>
          </cell>
          <cell r="E697">
            <v>44562</v>
          </cell>
          <cell r="F697" t="str">
            <v>16/01/2026</v>
          </cell>
          <cell r="G697" t="str">
            <v>YaHala Card - Dubai Offers 2025</v>
          </cell>
          <cell r="H697" t="str">
            <v>a0C3V00000IxCzPUAV</v>
          </cell>
          <cell r="I697" t="str">
            <v>L25DBYACA</v>
          </cell>
          <cell r="J697" t="str">
            <v>Active</v>
          </cell>
          <cell r="K697">
            <v>45681</v>
          </cell>
          <cell r="L697" t="str">
            <v>Dubai</v>
          </cell>
        </row>
        <row r="698">
          <cell r="A698" t="str">
            <v>X23951157</v>
          </cell>
          <cell r="C698" t="str">
            <v>La Promenade</v>
          </cell>
          <cell r="D698" t="str">
            <v>% Off</v>
          </cell>
          <cell r="E698">
            <v>44562</v>
          </cell>
          <cell r="F698" t="str">
            <v>16/01/2026</v>
          </cell>
          <cell r="G698" t="str">
            <v>YaHala Card - Dubai Offers 2025</v>
          </cell>
          <cell r="H698" t="str">
            <v>a0C3V00000IxCzPUAV</v>
          </cell>
          <cell r="I698" t="str">
            <v>L25DBYACA</v>
          </cell>
          <cell r="J698" t="str">
            <v>Active</v>
          </cell>
          <cell r="K698">
            <v>45681</v>
          </cell>
          <cell r="L698" t="str">
            <v>Dubai</v>
          </cell>
        </row>
        <row r="699">
          <cell r="A699" t="str">
            <v>X23880428</v>
          </cell>
          <cell r="C699" t="str">
            <v>Dubai Ladies Club</v>
          </cell>
          <cell r="D699" t="str">
            <v>Package</v>
          </cell>
          <cell r="E699">
            <v>44562</v>
          </cell>
          <cell r="F699" t="str">
            <v>15/02/2026</v>
          </cell>
          <cell r="G699" t="str">
            <v>YaHala Card - Dubai Offers 2025</v>
          </cell>
          <cell r="H699" t="str">
            <v>a0C3V00000IxCzPUAV</v>
          </cell>
          <cell r="I699" t="str">
            <v>L25DBYACA</v>
          </cell>
          <cell r="J699" t="str">
            <v>Active</v>
          </cell>
          <cell r="K699">
            <v>45720</v>
          </cell>
          <cell r="L699" t="str">
            <v>Dubai</v>
          </cell>
        </row>
        <row r="700">
          <cell r="A700" t="str">
            <v>X23880428</v>
          </cell>
          <cell r="C700" t="str">
            <v>Dubai Ladies Club</v>
          </cell>
          <cell r="D700" t="str">
            <v>Package</v>
          </cell>
          <cell r="E700">
            <v>44562</v>
          </cell>
          <cell r="F700" t="str">
            <v>15/02/2026</v>
          </cell>
          <cell r="G700" t="str">
            <v>YaHala Card - Dubai Offers 2025</v>
          </cell>
          <cell r="H700" t="str">
            <v>a0C3V00000IxCzPUAV</v>
          </cell>
          <cell r="I700" t="str">
            <v>L25DBYACA</v>
          </cell>
          <cell r="J700" t="str">
            <v>Active</v>
          </cell>
          <cell r="K700">
            <v>45720</v>
          </cell>
          <cell r="L700" t="str">
            <v>Dubai</v>
          </cell>
        </row>
        <row r="701">
          <cell r="A701" t="str">
            <v>X23926502</v>
          </cell>
          <cell r="C701" t="str">
            <v>Samsung Gulf Electronics</v>
          </cell>
          <cell r="D701" t="str">
            <v>% Off</v>
          </cell>
          <cell r="E701" t="str">
            <v>17/05/2023</v>
          </cell>
          <cell r="F701" t="str">
            <v>30/04/2026</v>
          </cell>
          <cell r="G701" t="str">
            <v>YaHala Exclusive - Dubai Offers 2025</v>
          </cell>
          <cell r="H701" t="str">
            <v>a0C3V00000IxCzNUAV</v>
          </cell>
          <cell r="I701" t="str">
            <v>L25DBYAEX</v>
          </cell>
          <cell r="J701" t="str">
            <v>Active</v>
          </cell>
          <cell r="K701">
            <v>45063</v>
          </cell>
          <cell r="L701" t="str">
            <v>Dubai</v>
          </cell>
        </row>
        <row r="702">
          <cell r="A702" t="str">
            <v>X22859859</v>
          </cell>
          <cell r="C702" t="str">
            <v>SIXT Rent a Car</v>
          </cell>
          <cell r="D702" t="str">
            <v>% Off</v>
          </cell>
          <cell r="E702">
            <v>45292</v>
          </cell>
          <cell r="F702" t="str">
            <v>26/06/2026</v>
          </cell>
          <cell r="G702" t="str">
            <v>YaHala Exclusive - Dubai Offers 2025</v>
          </cell>
          <cell r="H702" t="str">
            <v>a0C3V00000IxCzNUAV</v>
          </cell>
          <cell r="I702" t="str">
            <v>L25DBYAEX</v>
          </cell>
          <cell r="J702" t="str">
            <v>Active</v>
          </cell>
          <cell r="K702">
            <v>45555</v>
          </cell>
          <cell r="L702" t="str">
            <v>Dubai</v>
          </cell>
        </row>
        <row r="703">
          <cell r="A703" t="str">
            <v>X22859859</v>
          </cell>
          <cell r="C703" t="str">
            <v>SIXT Rent a Car</v>
          </cell>
          <cell r="D703" t="str">
            <v>% Off</v>
          </cell>
          <cell r="E703">
            <v>45292</v>
          </cell>
          <cell r="F703" t="str">
            <v>26/06/2026</v>
          </cell>
          <cell r="G703" t="str">
            <v>YaHala Exclusive - Dubai Offers 2025</v>
          </cell>
          <cell r="H703" t="str">
            <v>a0C3V00000IxCzNUAV</v>
          </cell>
          <cell r="I703" t="str">
            <v>L25DBYAEX</v>
          </cell>
          <cell r="J703" t="str">
            <v>Active</v>
          </cell>
          <cell r="K703">
            <v>45555</v>
          </cell>
          <cell r="L703" t="str">
            <v>Dubai</v>
          </cell>
        </row>
        <row r="704">
          <cell r="A704" t="str">
            <v>X23881334</v>
          </cell>
          <cell r="C704" t="str">
            <v>British Orchard Nursery</v>
          </cell>
          <cell r="D704" t="str">
            <v>% Off</v>
          </cell>
          <cell r="E704">
            <v>45292</v>
          </cell>
          <cell r="F704" t="str">
            <v>30/09/2026</v>
          </cell>
          <cell r="G704" t="str">
            <v>YaHala Exclusive - Dubai Offers 2025</v>
          </cell>
          <cell r="H704" t="str">
            <v>a0C3V00000IxCzNUAV</v>
          </cell>
          <cell r="I704" t="str">
            <v>L25DBYAEX</v>
          </cell>
          <cell r="J704" t="str">
            <v>Active</v>
          </cell>
          <cell r="K704">
            <v>45562</v>
          </cell>
          <cell r="L704" t="str">
            <v>Dubai</v>
          </cell>
        </row>
        <row r="705">
          <cell r="A705" t="str">
            <v>X23949477</v>
          </cell>
          <cell r="C705" t="str">
            <v>HONOR - ONLINE</v>
          </cell>
          <cell r="D705" t="str">
            <v>% Off</v>
          </cell>
          <cell r="E705">
            <v>45292</v>
          </cell>
          <cell r="F705" t="str">
            <v>31/08/2026</v>
          </cell>
          <cell r="G705" t="str">
            <v>YaHala Exclusive - Dubai Offers 2025</v>
          </cell>
          <cell r="H705" t="str">
            <v>a0C3V00000IxCzNUAV</v>
          </cell>
          <cell r="I705" t="str">
            <v>L25DBYAEX</v>
          </cell>
          <cell r="J705" t="str">
            <v>Active</v>
          </cell>
          <cell r="K705">
            <v>45594</v>
          </cell>
          <cell r="L705" t="str">
            <v>Dubai</v>
          </cell>
        </row>
        <row r="706">
          <cell r="A706" t="str">
            <v>X23174627</v>
          </cell>
          <cell r="C706" t="str">
            <v>Jumeirah Zabeel Saray</v>
          </cell>
          <cell r="D706" t="str">
            <v>Package</v>
          </cell>
          <cell r="E706">
            <v>44927</v>
          </cell>
          <cell r="F706" t="str">
            <v>20/03/2026</v>
          </cell>
          <cell r="G706" t="str">
            <v>YaHala Hotels - Dubai Offers 2025</v>
          </cell>
          <cell r="H706" t="str">
            <v>a0C3V00000IxCzRUAV</v>
          </cell>
          <cell r="I706" t="str">
            <v>L25DBYATR</v>
          </cell>
          <cell r="J706" t="str">
            <v>Active</v>
          </cell>
          <cell r="K706">
            <v>44938</v>
          </cell>
          <cell r="L706" t="str">
            <v>Dubai</v>
          </cell>
        </row>
      </sheetData>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d Elwan" refreshedDate="46247.529562268515" createdVersion="8" refreshedVersion="8" minRefreshableVersion="3" recordCount="577" xr:uid="{BA537290-92A8-45F3-AAFB-F6893A2924E1}">
  <cacheSource type="worksheet">
    <worksheetSource name="Table1"/>
  </cacheSource>
  <cacheFields count="17">
    <cacheField name="#" numFmtId="0">
      <sharedItems containsString="0" containsBlank="1" containsNumber="1" containsInteger="1" minValue="1" maxValue="586"/>
    </cacheField>
    <cacheField name="Merchant ID" numFmtId="0">
      <sharedItems/>
    </cacheField>
    <cacheField name="Merchant Name" numFmtId="0">
      <sharedItems/>
    </cacheField>
    <cacheField name="Group Name" numFmtId="0">
      <sharedItems containsBlank="1"/>
    </cacheField>
    <cacheField name="Source" numFmtId="0">
      <sharedItems/>
    </cacheField>
    <cacheField name="Category" numFmtId="0">
      <sharedItems count="7">
        <s v="Fashion &amp; Retail"/>
        <s v="Attraction &amp;Leisure"/>
        <s v="Food &amp; Drinks"/>
        <s v="Everyday Services"/>
        <s v="Beauty &amp; Fitness"/>
        <s v="Hotel &amp; Travel"/>
        <s v="Food &amp; Beverage"/>
      </sharedItems>
    </cacheField>
    <cacheField name="Sub Category" numFmtId="0">
      <sharedItems containsBlank="1"/>
    </cacheField>
    <cacheField name="Website" numFmtId="0">
      <sharedItems containsBlank="1"/>
    </cacheField>
    <cacheField name="Promocodes" numFmtId="0">
      <sharedItems containsBlank="1" containsMixedTypes="1" containsNumber="1" containsInteger="1" minValue="55815970" maxValue="55815970"/>
    </cacheField>
    <cacheField name="Type of offer" numFmtId="0">
      <sharedItems containsBlank="1" longText="1"/>
    </cacheField>
    <cacheField name="Reflect Status" numFmtId="0">
      <sharedItems/>
    </cacheField>
    <cacheField name="Creation Date" numFmtId="0">
      <sharedItems containsDate="1" containsBlank="1" containsMixedTypes="1" minDate="2022-12-29T00:00:00" maxDate="2026-06-25T00:00:00"/>
    </cacheField>
    <cacheField name="Expiry Date" numFmtId="0">
      <sharedItems containsNonDate="0" containsDate="1" containsString="0" containsBlank="1" minDate="2019-12-30T00:00:00" maxDate="2027-12-31T00:00:00"/>
    </cacheField>
    <cacheField name="Validity in the app" numFmtId="0">
      <sharedItems containsDate="1" containsBlank="1" containsMixedTypes="1" minDate="2025-12-30T00:00:00" maxDate="2027-12-31T00:00:00"/>
    </cacheField>
    <cacheField name="Remarks" numFmtId="0">
      <sharedItems containsBlank="1"/>
    </cacheField>
    <cacheField name="Abu Dhabi" numFmtId="0">
      <sharedItems containsBlank="1"/>
    </cacheField>
    <cacheField name="Dubai"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n v="1"/>
    <s v="X23880548"/>
    <s v="Old Navy"/>
    <s v="Azadea"/>
    <s v="YaHala Exclusive"/>
    <x v="0"/>
    <s v="Fashion"/>
    <m/>
    <m/>
    <s v="10% Off"/>
    <s v="Active"/>
    <d v="2025-12-03T00:00:00"/>
    <d v="2026-12-30T00:00:00"/>
    <d v="2026-12-30T00:00:00"/>
    <s v="Auto renewal"/>
    <m/>
    <s v="Dubai"/>
  </r>
  <r>
    <n v="2"/>
    <s v="X23880546"/>
    <s v="Decathlon"/>
    <s v="Azadea"/>
    <s v="YaHala Exclusive"/>
    <x v="0"/>
    <s v="Fashion"/>
    <m/>
    <m/>
    <s v="10% Off"/>
    <s v="Active"/>
    <d v="2025-12-02T00:00:00"/>
    <d v="2026-12-30T00:00:00"/>
    <d v="2026-12-30T00:00:00"/>
    <s v="Auto renewal"/>
    <m/>
    <s v="Dubai"/>
  </r>
  <r>
    <n v="3"/>
    <s v="X23939769"/>
    <s v="Haditi Boutique"/>
    <s v="Haditi Boutique"/>
    <s v="YaHala Exclusive"/>
    <x v="0"/>
    <s v="Flowers &amp; Gifts"/>
    <m/>
    <m/>
    <s v="20% Off"/>
    <s v="Active"/>
    <d v="2026-01-12T00:00:00"/>
    <d v="2027-12-01T00:00:00"/>
    <d v="2026-12-30T00:00:00"/>
    <m/>
    <m/>
    <s v="Dubai"/>
  </r>
  <r>
    <n v="4"/>
    <s v="X23926502"/>
    <s v="Samsung"/>
    <s v="Samsung Gulf Electronics"/>
    <s v="YaHala Exclusive"/>
    <x v="0"/>
    <s v="Electronics"/>
    <s v="Samsung link"/>
    <s v="30% off on total bill"/>
    <s v="30% Off"/>
    <s v="Inactive"/>
    <d v="2023-05-17T00:00:00"/>
    <d v="2026-04-29T00:00:00"/>
    <s v="Expired"/>
    <s v="No action required"/>
    <m/>
    <s v="Dubai"/>
  </r>
  <r>
    <n v="5"/>
    <s v="X23901761"/>
    <s v="Namshi"/>
    <m/>
    <s v="YaHala Exclusive"/>
    <x v="0"/>
    <s v="Fashion"/>
    <s v="https://www.namshi.com/uae-en/"/>
    <s v="use code PMO23"/>
    <s v="Get up to AED75"/>
    <s v="Inactive"/>
    <s v=""/>
    <d v="2024-12-31T00:00:00"/>
    <s v="Deactive"/>
    <s v="Expired as per Faisal"/>
    <m/>
    <s v=""/>
  </r>
  <r>
    <n v="6"/>
    <s v="X23938203"/>
    <s v="Versace"/>
    <s v="Allied Enterprise"/>
    <s v="YaHala Exclusive"/>
    <x v="0"/>
    <s v="Fashion"/>
    <m/>
    <m/>
    <s v="10% Off"/>
    <s v="Active"/>
    <d v="2025-12-05T00:00:00"/>
    <d v="2026-12-30T00:00:00"/>
    <d v="2026-12-30T00:00:00"/>
    <s v="Auto renewal"/>
    <s v="Abu Dhabi"/>
    <s v="Dubai"/>
  </r>
  <r>
    <n v="7"/>
    <s v="X23938204"/>
    <s v="Stella McCartney"/>
    <s v="Allied Enterprise"/>
    <s v="YaHala Exclusive"/>
    <x v="0"/>
    <s v="Fashion"/>
    <m/>
    <m/>
    <s v="10% Off"/>
    <s v="Inactive"/>
    <s v=""/>
    <d v="2026-04-29T00:00:00"/>
    <d v="2026-04-29T00:00:00"/>
    <m/>
    <m/>
    <s v=""/>
  </r>
  <r>
    <n v="8"/>
    <s v="X23938205"/>
    <s v="Karl Lagerfeld"/>
    <s v="Allied Enterprise"/>
    <s v="YaHala Exclusive"/>
    <x v="0"/>
    <s v="Fashion"/>
    <m/>
    <m/>
    <s v="10% Off"/>
    <s v="Active"/>
    <d v="2025-12-05T00:00:00"/>
    <d v="2026-12-30T00:00:00"/>
    <d v="2026-12-30T00:00:00"/>
    <s v="Auto renewal"/>
    <s v="Abu Dhabi"/>
    <s v="Dubai"/>
  </r>
  <r>
    <n v="9"/>
    <s v="X23938207"/>
    <s v="Michael Kors"/>
    <s v="Allied Enterprise"/>
    <s v="YaHala Exclusive"/>
    <x v="0"/>
    <s v="Fashion"/>
    <m/>
    <m/>
    <s v="10% Off"/>
    <s v="Active"/>
    <d v="2025-12-04T00:00:00"/>
    <d v="2026-12-30T00:00:00"/>
    <d v="2026-12-30T00:00:00"/>
    <s v="Auto renewal"/>
    <s v="Abu Dhabi"/>
    <s v="Dubai"/>
  </r>
  <r>
    <n v="10"/>
    <s v="X23926950"/>
    <s v="Museum of the future"/>
    <s v="Museum of the Future LLC"/>
    <s v="YaHala Exclusive"/>
    <x v="1"/>
    <s v="Attractions"/>
    <s v="Museum of The Future "/>
    <s v="PMOMOTF20"/>
    <s v="15%- 20% use promocode"/>
    <s v="Active"/>
    <d v="2025-12-03T00:00:00"/>
    <d v="2026-12-30T00:00:00"/>
    <d v="2026-12-30T00:00:00"/>
    <s v="Auto renewal"/>
    <m/>
    <s v="Dubai"/>
  </r>
  <r>
    <n v="11"/>
    <s v="X23880978"/>
    <s v="Jawhara"/>
    <s v="Jawhara"/>
    <s v="YaHala Exclusive"/>
    <x v="0"/>
    <s v="Fashion"/>
    <m/>
    <m/>
    <s v="15%-10%-25%-50%-30%"/>
    <s v="Active"/>
    <d v="2025-12-05T00:00:00"/>
    <d v="2026-12-30T00:00:00"/>
    <d v="2026-12-30T00:00:00"/>
    <s v="Auto renewal"/>
    <s v="Abu Dhabi"/>
    <s v="Dubai"/>
  </r>
  <r>
    <n v="12"/>
    <s v="X23944016"/>
    <s v="Mouawad Jewelry"/>
    <s v="Mouawad"/>
    <s v="YaHala Exclusive"/>
    <x v="0"/>
    <s v="Fashion"/>
    <m/>
    <m/>
    <s v="15% Off"/>
    <s v="Active"/>
    <d v="2025-12-05T00:00:00"/>
    <d v="2026-12-30T00:00:00"/>
    <d v="2026-12-30T00:00:00"/>
    <s v="Auto renewal"/>
    <s v="Abu Dhabi"/>
    <s v="Dubai"/>
  </r>
  <r>
    <n v="13"/>
    <s v="X23938208"/>
    <s v="Rene Caovilla"/>
    <s v="Allied Enterprise"/>
    <s v="YaHala Exclusive"/>
    <x v="0"/>
    <s v="Fashion"/>
    <m/>
    <m/>
    <s v="10% Off"/>
    <s v="Active"/>
    <d v="2025-12-04T00:00:00"/>
    <d v="2026-12-30T00:00:00"/>
    <d v="2026-12-30T00:00:00"/>
    <s v="Auto renewal"/>
    <s v="Abu Dhabi"/>
    <s v="Dubai"/>
  </r>
  <r>
    <n v="14"/>
    <s v="X23938209"/>
    <s v="Dsquared2"/>
    <s v="Allied Enterprise"/>
    <s v="YaHala Exclusive"/>
    <x v="0"/>
    <s v="Fashion"/>
    <m/>
    <m/>
    <s v="15% Off"/>
    <s v="Inactive"/>
    <s v=""/>
    <d v="2024-12-31T00:00:00"/>
    <s v="Deactive"/>
    <s v="Autorenewal"/>
    <m/>
    <s v=""/>
  </r>
  <r>
    <n v="15"/>
    <s v="X23938212"/>
    <s v="Courcelles"/>
    <s v="Allied Enterprise"/>
    <s v="YaHala Exclusive"/>
    <x v="0"/>
    <s v="Baby &amp; Child"/>
    <m/>
    <m/>
    <s v="10% Off"/>
    <s v="Inactive"/>
    <s v=""/>
    <d v="2024-12-31T00:00:00"/>
    <s v="Deactive"/>
    <s v="Autorenewal"/>
    <m/>
    <s v=""/>
  </r>
  <r>
    <n v="16"/>
    <s v="X23938211"/>
    <s v="Lacoste"/>
    <s v="Allied Enterprise"/>
    <s v="YaHala Exclusive"/>
    <x v="0"/>
    <s v="Fashion"/>
    <m/>
    <m/>
    <s v="10% Off"/>
    <s v="Active"/>
    <d v="2025-12-04T00:00:00"/>
    <d v="2026-12-30T00:00:00"/>
    <d v="2026-12-30T00:00:00"/>
    <s v="Auto renewal"/>
    <s v="Abu Dhabi"/>
    <s v="Dubai"/>
  </r>
  <r>
    <n v="17"/>
    <s v="X23938213"/>
    <s v="FILA"/>
    <s v="Allied Enterprise"/>
    <s v="YaHala Exclusive"/>
    <x v="0"/>
    <s v="Fashion"/>
    <m/>
    <m/>
    <s v="15% Off"/>
    <s v="Inactive"/>
    <s v=""/>
    <d v="2024-12-30T00:00:00"/>
    <s v="Deactive"/>
    <s v="Autorenewal"/>
    <m/>
    <s v=""/>
  </r>
  <r>
    <n v="18"/>
    <s v="X23938214"/>
    <s v="GUESS"/>
    <s v="Allied Enterprise"/>
    <s v="YaHala Exclusive"/>
    <x v="0"/>
    <s v="Fashion"/>
    <m/>
    <m/>
    <s v="10% Off"/>
    <s v="Active"/>
    <d v="2025-12-04T00:00:00"/>
    <d v="2026-12-30T00:00:00"/>
    <d v="2026-12-30T00:00:00"/>
    <s v="Auto renewal"/>
    <s v="Abu Dhabi"/>
    <s v="Dubai"/>
  </r>
  <r>
    <n v="19"/>
    <s v="X23938215"/>
    <s v="Faces"/>
    <s v="Allied Enterprise"/>
    <s v="YaHala Exclusive"/>
    <x v="0"/>
    <s v="Fashion"/>
    <m/>
    <m/>
    <s v="10% Off"/>
    <s v="Active"/>
    <d v="2025-12-03T00:00:00"/>
    <d v="2026-12-30T00:00:00"/>
    <d v="2026-12-30T00:00:00"/>
    <s v="Auto renewal"/>
    <s v="Abu Dhabi"/>
    <s v="Dubai"/>
  </r>
  <r>
    <n v="20"/>
    <s v="X23938216"/>
    <s v="TANAGRA"/>
    <s v="Allied Enterprise"/>
    <s v="YaHala Exclusive"/>
    <x v="0"/>
    <s v="Fashion"/>
    <m/>
    <m/>
    <s v="10% Off"/>
    <s v="Inactive"/>
    <s v=""/>
    <d v="2026-12-30T00:00:00"/>
    <s v="Deactive"/>
    <s v="Autorenewal"/>
    <m/>
    <s v=""/>
  </r>
  <r>
    <n v="21"/>
    <s v="X23938217"/>
    <s v="TRYANO"/>
    <s v="Allied Enterprise"/>
    <s v="YaHala Exclusive"/>
    <x v="0"/>
    <s v="Fashion"/>
    <m/>
    <m/>
    <s v="10% Off"/>
    <s v="Active"/>
    <d v="2025-12-05T00:00:00"/>
    <d v="2026-12-30T00:00:00"/>
    <d v="2026-12-30T00:00:00"/>
    <s v="Auto renewal"/>
    <s v="Abu Dhabi"/>
    <s v="Dubai"/>
  </r>
  <r>
    <n v="22"/>
    <s v="X23938218"/>
    <s v="Molton Brown"/>
    <s v="Allied Enterprise"/>
    <s v="YaHala Exclusive"/>
    <x v="0"/>
    <s v="Health &amp; Beauty"/>
    <m/>
    <m/>
    <s v="10% Off"/>
    <s v="Active"/>
    <d v="2025-12-04T00:00:00"/>
    <d v="2026-12-30T00:00:00"/>
    <d v="2026-12-30T00:00:00"/>
    <s v="Auto renewal"/>
    <s v="Abu Dhabi"/>
    <s v="Dubai"/>
  </r>
  <r>
    <n v="23"/>
    <s v="X23938220"/>
    <s v="EX NIHILO"/>
    <s v="Allied Enterprise"/>
    <s v="YaHala Exclusive"/>
    <x v="0"/>
    <s v="Health &amp; Beauty"/>
    <m/>
    <m/>
    <s v="15% Off"/>
    <s v="Inactive"/>
    <s v=""/>
    <d v="2024-12-15T00:00:00"/>
    <s v="Deactive"/>
    <s v="removed"/>
    <m/>
    <s v=""/>
  </r>
  <r>
    <n v="24"/>
    <s v="X23938221"/>
    <s v="Maison 21G"/>
    <s v="Allied Enterprise"/>
    <s v="YaHala Exclusive"/>
    <x v="0"/>
    <s v="Health &amp; Beauty"/>
    <m/>
    <m/>
    <s v="15% Off"/>
    <s v="Inactive"/>
    <s v=""/>
    <d v="2024-12-31T00:00:00"/>
    <s v="Deactive"/>
    <s v="removed"/>
    <m/>
    <s v=""/>
  </r>
  <r>
    <n v="25"/>
    <s v="X23938222"/>
    <s v="Thameen"/>
    <s v="Allied Enterprise"/>
    <s v="YaHala Exclusive"/>
    <x v="0"/>
    <s v="Health &amp; Beauty"/>
    <m/>
    <m/>
    <s v="15% Off"/>
    <s v="Inactive"/>
    <s v=""/>
    <d v="2024-12-27T00:00:00"/>
    <s v="Deactive"/>
    <s v="Autorenewal"/>
    <m/>
    <s v=""/>
  </r>
  <r>
    <n v="26"/>
    <s v="X23938224"/>
    <s v="NARS"/>
    <s v="Allied Enterprise"/>
    <s v="YaHala Exclusive"/>
    <x v="0"/>
    <s v="Fashion"/>
    <m/>
    <m/>
    <s v="10% Off"/>
    <s v="Active"/>
    <d v="2025-12-05T00:00:00"/>
    <d v="2026-12-30T00:00:00"/>
    <d v="2026-12-30T00:00:00"/>
    <s v="Auto renewal"/>
    <s v="Abu Dhabi"/>
    <s v="Dubai"/>
  </r>
  <r>
    <n v="27"/>
    <s v="X23938225"/>
    <s v="BACCARAT"/>
    <s v="Allied Enterprise"/>
    <s v="YaHala Exclusive"/>
    <x v="0"/>
    <s v="Fashion"/>
    <m/>
    <m/>
    <s v="10% Off"/>
    <s v="Inactive"/>
    <s v=""/>
    <d v="2026-12-30T00:00:00"/>
    <s v="Deactive"/>
    <s v="Autorenewal"/>
    <m/>
    <s v=""/>
  </r>
  <r>
    <n v="28"/>
    <s v="X23938227"/>
    <s v="CHRISTOFLE"/>
    <s v="Allied Enterprise"/>
    <s v="YaHala Exclusive"/>
    <x v="0"/>
    <s v="Fashion"/>
    <m/>
    <m/>
    <s v="10% Off "/>
    <s v="Inactive"/>
    <s v=""/>
    <d v="2026-06-09T00:00:00"/>
    <s v="Deactive"/>
    <s v="Autorenewal"/>
    <m/>
    <s v="Dubai"/>
  </r>
  <r>
    <n v="29"/>
    <s v="X23938228"/>
    <s v="VILLARI"/>
    <s v="Allied Enterprise"/>
    <s v="YaHala Exclusive"/>
    <x v="0"/>
    <s v="Fashion"/>
    <m/>
    <m/>
    <s v="10% Off"/>
    <s v="Inactive"/>
    <s v=""/>
    <d v="2026-06-09T00:00:00"/>
    <s v="Deactive"/>
    <s v="Autorenewal"/>
    <m/>
    <s v="Dubai"/>
  </r>
  <r>
    <n v="30"/>
    <s v="X23938229"/>
    <s v="KILIAN"/>
    <s v="Allied Enterprise"/>
    <s v="YaHala Exclusive"/>
    <x v="0"/>
    <s v="Other"/>
    <m/>
    <m/>
    <s v="10% Off "/>
    <s v="Active"/>
    <d v="2025-12-05T00:00:00"/>
    <d v="2026-12-30T00:00:00"/>
    <d v="2026-12-30T00:00:00"/>
    <s v="Auto renewal"/>
    <s v="Abu Dhabi"/>
    <s v="Dubai"/>
  </r>
  <r>
    <n v="31"/>
    <s v="X23938230"/>
    <s v="FREDERIC MALLE"/>
    <s v="Allied Enterprise"/>
    <s v="YaHala Exclusive"/>
    <x v="0"/>
    <s v="Other"/>
    <m/>
    <m/>
    <s v="10% Off "/>
    <s v="Active"/>
    <d v="2025-12-05T00:00:00"/>
    <d v="2026-12-30T00:00:00"/>
    <d v="2026-12-30T00:00:00"/>
    <s v="Auto renewal"/>
    <m/>
    <s v="Dubai"/>
  </r>
  <r>
    <n v="32"/>
    <s v="X23938231"/>
    <s v="BOBBI BROWN"/>
    <s v="Allied Enterprise"/>
    <s v="YaHala Exclusive"/>
    <x v="0"/>
    <s v="Other"/>
    <m/>
    <m/>
    <s v="10% Off "/>
    <s v="Active"/>
    <d v="2025-12-05T00:00:00"/>
    <d v="2026-12-30T00:00:00"/>
    <d v="2026-12-30T00:00:00"/>
    <s v="Auto renewal"/>
    <s v="Abu Dhabi"/>
    <s v="Dubai"/>
  </r>
  <r>
    <n v="33"/>
    <s v="X23938232"/>
    <s v="The Deal"/>
    <s v="Allied Enterprise"/>
    <s v="YaHala Exclusive"/>
    <x v="0"/>
    <s v="Fashion"/>
    <m/>
    <m/>
    <s v="10% Off"/>
    <s v="Inactive"/>
    <s v=""/>
    <d v="2024-12-10T00:00:00"/>
    <s v="Deactive"/>
    <s v="Autorenewal"/>
    <m/>
    <s v=""/>
  </r>
  <r>
    <n v="34"/>
    <s v="X23950059"/>
    <s v="L'Occitane Café"/>
    <s v="Allied Enterprise"/>
    <s v="YaHala Exclusive"/>
    <x v="2"/>
    <s v="Casual dining"/>
    <m/>
    <m/>
    <s v="10% off total bill"/>
    <s v="Active"/>
    <d v="2025-12-05T00:00:00"/>
    <d v="2026-12-30T00:00:00"/>
    <d v="2026-12-30T00:00:00"/>
    <s v="Auto renewal"/>
    <s v="Abu Dhabi"/>
    <s v="Dubai"/>
  </r>
  <r>
    <n v="35"/>
    <s v="X23950058"/>
    <s v="L'Occitane"/>
    <s v="Allied Enterprise"/>
    <s v="YaHala Exclusive"/>
    <x v="0"/>
    <s v="Fashion"/>
    <m/>
    <m/>
    <s v="10% Off"/>
    <s v="Active"/>
    <d v="2025-12-05T00:00:00"/>
    <d v="2026-12-30T00:00:00"/>
    <d v="2026-12-30T00:00:00"/>
    <s v="Auto renewal"/>
    <s v="Abu Dhabi"/>
    <s v="Dubai"/>
  </r>
  <r>
    <n v="36"/>
    <s v="X23938131"/>
    <s v="Giorgio Armani (beauty)"/>
    <s v="Allied Enterprise"/>
    <s v="YaHala Exclusive"/>
    <x v="0"/>
    <s v="Fashion"/>
    <m/>
    <m/>
    <s v="10% Off "/>
    <s v="Active"/>
    <d v="2025-12-05T00:00:00"/>
    <d v="2026-12-30T00:00:00"/>
    <d v="2026-12-30T00:00:00"/>
    <s v="Auto renewal"/>
    <s v="Abu Dhabi"/>
    <s v="Dubai"/>
  </r>
  <r>
    <n v="37"/>
    <s v="X23938129"/>
    <s v="YSL (Beauty)"/>
    <s v="Allied Enterprise"/>
    <s v="YaHala Exclusive"/>
    <x v="0"/>
    <s v="Fashion"/>
    <m/>
    <m/>
    <s v="10% Off "/>
    <s v="Active"/>
    <d v="2025-11-27T00:00:00"/>
    <d v="2026-12-30T00:00:00"/>
    <d v="2026-12-30T00:00:00"/>
    <s v="Auto renewal"/>
    <s v="Abu Dhabi"/>
    <s v="Dubai"/>
  </r>
  <r>
    <n v="38"/>
    <s v="X23938233"/>
    <s v="Kids Around"/>
    <s v="Allied Enterprise"/>
    <s v="YaHala Exclusive"/>
    <x v="0"/>
    <s v="Fashion"/>
    <m/>
    <m/>
    <s v="10% Off"/>
    <s v="Active"/>
    <d v="2025-12-05T00:00:00"/>
    <d v="2026-12-30T00:00:00"/>
    <d v="2026-12-30T00:00:00"/>
    <s v="Auto renewal"/>
    <s v="Abu Dhabi"/>
    <s v="Dubai"/>
  </r>
  <r>
    <n v="39"/>
    <s v="X23940387"/>
    <s v="Desco Copy &amp; Print Center"/>
    <s v="Desco Copy &amp; Print center"/>
    <s v="YaHala Exclusive"/>
    <x v="3"/>
    <s v="Other"/>
    <m/>
    <m/>
    <s v="10% Off"/>
    <s v="Active"/>
    <d v="2025-12-05T00:00:00"/>
    <d v="2026-12-30T00:00:00"/>
    <d v="2026-12-30T00:00:00"/>
    <s v="Auto renewal"/>
    <m/>
    <s v="Dubai"/>
  </r>
  <r>
    <n v="40"/>
    <s v="X23924514"/>
    <s v="Aramex"/>
    <s v="Aramex Emirates LLC"/>
    <s v="YaHala Exclusive"/>
    <x v="3"/>
    <s v="Office"/>
    <m/>
    <s v="promo code YAHALA17"/>
    <s v="10% Off"/>
    <s v="Inactive"/>
    <s v=""/>
    <d v="2023-12-31T00:00:00"/>
    <s v="Deactive"/>
    <s v="to confirm from faisal"/>
    <m/>
    <s v=""/>
  </r>
  <r>
    <n v="41"/>
    <s v="X23880965"/>
    <s v="Al Thawab Al Watani"/>
    <s v="Al Thawab Al Watani"/>
    <s v="YaHala Exclusive"/>
    <x v="0"/>
    <s v="Fashion"/>
    <m/>
    <m/>
    <s v="15%Off"/>
    <s v="Active"/>
    <d v="2025-12-04T00:00:00"/>
    <d v="2026-12-30T00:00:00"/>
    <d v="2026-12-30T00:00:00"/>
    <s v="Auto renewal"/>
    <m/>
    <s v="Dubai"/>
  </r>
  <r>
    <n v="42"/>
    <s v="X23893602"/>
    <s v="Bait AlKandora"/>
    <s v="Fashion &amp; Retail"/>
    <s v="YaHala Exclusive"/>
    <x v="0"/>
    <s v="Fashion"/>
    <m/>
    <m/>
    <s v="15% Off"/>
    <s v="Active"/>
    <d v="2025-12-05T00:00:00"/>
    <d v="2026-12-30T00:00:00"/>
    <d v="2026-12-30T00:00:00"/>
    <s v="Auto renewal"/>
    <m/>
    <s v="Dubai"/>
  </r>
  <r>
    <n v="43"/>
    <s v="X23880976"/>
    <s v="Al Mandoos"/>
    <s v="Al Mandoos"/>
    <s v="YaHala Exclusive"/>
    <x v="0"/>
    <s v="Fashion"/>
    <m/>
    <m/>
    <s v="10% Off"/>
    <s v="Active"/>
    <d v="2025-12-02T00:00:00"/>
    <d v="2026-12-30T00:00:00"/>
    <d v="2026-12-30T00:00:00"/>
    <s v="Auto renewal"/>
    <m/>
    <s v="Dubai"/>
  </r>
  <r>
    <n v="44"/>
    <s v="X23888635"/>
    <s v="Anfas al khaleej Perfumes"/>
    <s v="Anfas al Khaleej perfumes"/>
    <s v="YaHala Exclusive"/>
    <x v="0"/>
    <s v="Fashion"/>
    <m/>
    <m/>
    <s v="20% Off"/>
    <s v="Active"/>
    <d v="2025-12-05T00:00:00"/>
    <d v="2026-12-30T00:00:00"/>
    <d v="2026-12-30T00:00:00"/>
    <s v="Auto renewal"/>
    <m/>
    <s v="Dubai"/>
  </r>
  <r>
    <n v="45"/>
    <s v="X23879770"/>
    <s v="Garmin.AE"/>
    <m/>
    <s v="YaHala Exclusive"/>
    <x v="0"/>
    <s v="Fashion"/>
    <m/>
    <m/>
    <s v="20% Off"/>
    <s v="Inactive"/>
    <s v=""/>
    <d v="2026-06-17T00:00:00"/>
    <s v="Deactive"/>
    <m/>
    <m/>
    <s v=""/>
  </r>
  <r>
    <n v="46"/>
    <s v="X23880214"/>
    <s v="Glamour Rose"/>
    <m/>
    <s v="YaHala Exclusive"/>
    <x v="0"/>
    <s v="Fashion"/>
    <m/>
    <m/>
    <s v="20% Off"/>
    <s v="Active"/>
    <d v="2025-12-02T00:00:00"/>
    <d v="2026-12-30T00:00:00"/>
    <d v="2026-12-30T00:00:00"/>
    <s v="Auto renewal"/>
    <m/>
    <s v="Dubai"/>
  </r>
  <r>
    <n v="47"/>
    <s v="X23895300"/>
    <s v="Al Gurg Stationarey"/>
    <m/>
    <s v="YaHala Exclusive"/>
    <x v="0"/>
    <s v="Home&amp;Garden"/>
    <s v="https://www.algurgstationery.com/"/>
    <s v="PromoCode PM20"/>
    <s v="20% Off use PromoCode PM20"/>
    <s v="Inactive"/>
    <s v=""/>
    <d v="2026-12-30T00:00:00"/>
    <d v="2026-12-30T00:00:00"/>
    <s v="Auto renewal"/>
    <m/>
    <s v=""/>
  </r>
  <r>
    <n v="48"/>
    <s v="X23880956"/>
    <s v="Bostani Chocolat"/>
    <s v="Bostani"/>
    <s v="YaHala Exclusive"/>
    <x v="3"/>
    <s v="Confectionary"/>
    <m/>
    <m/>
    <s v="15% Off "/>
    <s v="Inactive"/>
    <s v=""/>
    <d v="2026-05-06T00:00:00"/>
    <s v="inactive"/>
    <s v="No action required"/>
    <m/>
    <s v=""/>
  </r>
  <r>
    <n v="49"/>
    <s v="X23880472"/>
    <s v="Sephora"/>
    <m/>
    <s v="YaHala Exclusive"/>
    <x v="0"/>
    <s v="Fashion"/>
    <m/>
    <m/>
    <s v="10% Off "/>
    <s v="Active"/>
    <d v="2025-12-05T00:00:00"/>
    <d v="2026-12-30T00:00:00"/>
    <d v="2026-12-30T00:00:00"/>
    <s v="Auto renewal"/>
    <m/>
    <s v="Dubai"/>
  </r>
  <r>
    <n v="50"/>
    <s v="X23880561"/>
    <s v="Jumbo electronics"/>
    <m/>
    <s v="YaHala Exclusive"/>
    <x v="0"/>
    <s v="Electronics"/>
    <s v="Jumbo Electronics "/>
    <s v="Use Code YAHALAPMO"/>
    <s v="30% Off"/>
    <s v="Inactive"/>
    <s v=""/>
    <d v="2026-04-16T00:00:00"/>
    <d v="2026-12-30T00:00:00"/>
    <s v="Deactive from Faisal"/>
    <m/>
    <s v=""/>
  </r>
  <r>
    <n v="51"/>
    <s v="X23240792"/>
    <s v="Champion Cleaners"/>
    <s v="Champion Cleaners"/>
    <s v="YaHala Exclusive"/>
    <x v="3"/>
    <s v="Dry Cleaning &amp; Laundry"/>
    <m/>
    <m/>
    <s v="20% Off Total Bill"/>
    <s v="Active"/>
    <d v="2025-12-04T00:00:00"/>
    <d v="2026-12-30T00:00:00"/>
    <d v="2026-12-30T00:00:00"/>
    <s v="Auto renewal"/>
    <s v="Abu Dhabi"/>
    <s v="Dubai"/>
  </r>
  <r>
    <n v="52"/>
    <s v="X23891349"/>
    <s v="Montblanc"/>
    <m/>
    <s v="YaHala Exclusive"/>
    <x v="0"/>
    <s v="Fashion"/>
    <m/>
    <m/>
    <s v="15% Off"/>
    <s v="Inactive"/>
    <s v=""/>
    <d v="2024-11-25T00:00:00"/>
    <s v="inactive"/>
    <s v="No action required"/>
    <m/>
    <s v=""/>
  </r>
  <r>
    <n v="53"/>
    <s v="X23880970"/>
    <s v="Marli Jewelry"/>
    <m/>
    <s v="YaHala Exclusive"/>
    <x v="0"/>
    <s v="Fashion"/>
    <m/>
    <m/>
    <s v="5% Off on min spend 25k"/>
    <s v="Active"/>
    <d v="2025-12-02T00:00:00"/>
    <d v="2026-12-30T00:00:00"/>
    <d v="2026-12-30T00:00:00"/>
    <s v="Auto renewal"/>
    <m/>
    <s v="Dubai"/>
  </r>
  <r>
    <n v="54"/>
    <s v="X23880207"/>
    <s v="Laundry@the Tower"/>
    <s v="Laundry@the Tower"/>
    <s v="YaHala Exclusive"/>
    <x v="3"/>
    <s v="Dry Cleaning &amp; Laundry"/>
    <m/>
    <m/>
    <s v="50% on total bill"/>
    <s v="Active"/>
    <d v="2025-12-05T00:00:00"/>
    <d v="2026-12-30T00:00:00"/>
    <d v="2026-12-30T00:00:00"/>
    <s v="Auto renewal"/>
    <m/>
    <s v="Dubai"/>
  </r>
  <r>
    <n v="55"/>
    <s v="X22074288"/>
    <s v="Babyshop"/>
    <s v="Landmark Retail Investment Co. LLC"/>
    <s v="YaHala Exclusive"/>
    <x v="0"/>
    <s v="Baby &amp; Child"/>
    <m/>
    <m/>
    <s v="20% min 200AED"/>
    <s v="Active"/>
    <d v="2025-12-05T00:00:00"/>
    <d v="2026-12-30T00:00:00"/>
    <d v="2026-12-30T00:00:00"/>
    <s v="Auto renewal"/>
    <m/>
    <s v="Dubai"/>
  </r>
  <r>
    <n v="56"/>
    <s v="X23910199"/>
    <s v="Centrepoint"/>
    <s v="Landmark Retail Investment Co. LLC"/>
    <s v="YaHala Exclusive"/>
    <x v="0"/>
    <s v="Fashion"/>
    <m/>
    <m/>
    <s v="20% on total bill"/>
    <s v="Active"/>
    <s v="Dec-5-2025"/>
    <d v="2026-12-30T00:00:00"/>
    <d v="2026-12-30T00:00:00"/>
    <s v="Auto renewal"/>
    <m/>
    <s v="Dubai"/>
  </r>
  <r>
    <n v="57"/>
    <s v="X23892464"/>
    <s v="Max"/>
    <s v="Landmark Retail Investment Co. LLC"/>
    <s v="YaHala Exclusive"/>
    <x v="0"/>
    <s v="Fashion"/>
    <m/>
    <m/>
    <s v="15% min 200"/>
    <s v="Active"/>
    <d v="2025-12-05T00:00:00"/>
    <d v="2026-12-30T00:00:00"/>
    <d v="2026-12-30T00:00:00"/>
    <s v="Auto renewal"/>
    <m/>
    <s v="Dubai"/>
  </r>
  <r>
    <n v="58"/>
    <s v="X22074348"/>
    <s v="SHOEMART"/>
    <s v="Landmark Retail Investment Co. LLC"/>
    <s v="YaHala Exclusive"/>
    <x v="0"/>
    <s v="Fashion"/>
    <m/>
    <m/>
    <s v="20% min 250 AED"/>
    <s v="Active"/>
    <d v="2026-06-17T00:00:00"/>
    <d v="2026-12-30T00:00:00"/>
    <d v="2026-12-30T00:00:00"/>
    <s v="Auto renewal"/>
    <m/>
    <s v="Dubai"/>
  </r>
  <r>
    <n v="59"/>
    <s v="X22074437"/>
    <s v="Lifestyle"/>
    <s v="Landmark Retail Investment Co. LLC"/>
    <s v="YaHala Exclusive"/>
    <x v="0"/>
    <s v="Fashion"/>
    <m/>
    <m/>
    <s v="20% min 250 AED"/>
    <s v="Inactive"/>
    <s v=""/>
    <d v="2022-12-30T00:00:00"/>
    <s v="Deactive"/>
    <s v="to confirm from faisal"/>
    <m/>
    <s v=""/>
  </r>
  <r>
    <n v="60"/>
    <s v="X23885171"/>
    <s v="Bliss Flowers Dubai"/>
    <s v="Bliss Flowers Dubai"/>
    <s v="YaHala Exclusive"/>
    <x v="3"/>
    <s v="Flowers &amp; Gifts"/>
    <m/>
    <m/>
    <s v="20% Off on total products &amp; services"/>
    <s v="Active"/>
    <d v="2025-12-05T00:00:00"/>
    <d v="2026-12-30T00:00:00"/>
    <d v="2026-12-30T00:00:00"/>
    <s v="Auto renewal"/>
    <m/>
    <s v="Dubai"/>
  </r>
  <r>
    <n v="61"/>
    <s v="X23880458"/>
    <s v="Baume &amp; Mercier"/>
    <s v="Ahmed Seddiqi &amp; Sons"/>
    <s v="YaHala Exclusive"/>
    <x v="0"/>
    <s v="Fashion"/>
    <m/>
    <m/>
    <s v="25% Off"/>
    <s v="Inactive"/>
    <s v=""/>
    <d v="2025-05-23T00:00:00"/>
    <s v="Deactive"/>
    <s v="Autorenewal"/>
    <m/>
    <s v=""/>
  </r>
  <r>
    <n v="62"/>
    <s v="X23880456"/>
    <s v="A. Lange &amp; Sohne"/>
    <s v="Ahmed Seddiqi &amp; Sons"/>
    <s v="YaHala Exclusive"/>
    <x v="0"/>
    <s v="Fashion"/>
    <m/>
    <m/>
    <s v="15% Off"/>
    <s v="Inactive"/>
    <s v=""/>
    <d v="2025-05-23T00:00:00"/>
    <s v="Deactive"/>
    <s v="Autorenewal"/>
    <m/>
    <s v=""/>
  </r>
  <r>
    <n v="63"/>
    <s v="X23880460"/>
    <s v="Bomberg"/>
    <s v="Ahmed Seddiqi &amp; Sons"/>
    <s v="YaHala Exclusive"/>
    <x v="0"/>
    <s v="jewelry"/>
    <m/>
    <m/>
    <s v="17% Off"/>
    <s v="Active"/>
    <d v="2025-12-05T00:00:00"/>
    <d v="2026-12-30T00:00:00"/>
    <d v="2026-12-30T00:00:00"/>
    <s v="Auto renewal"/>
    <m/>
    <s v="Dubai"/>
  </r>
  <r>
    <n v="64"/>
    <s v="X23880463"/>
    <s v="Bovet"/>
    <s v="Ahmed Seddiqi &amp; Sons"/>
    <s v="YaHala Exclusive"/>
    <x v="0"/>
    <s v="jewelry"/>
    <m/>
    <m/>
    <s v="20% Off"/>
    <s v="Inactive"/>
    <s v=""/>
    <d v="2026-05-21T00:00:00"/>
    <s v="Deactive"/>
    <s v="Autorenewal"/>
    <m/>
    <s v=""/>
  </r>
  <r>
    <n v="65"/>
    <s v="X23880513"/>
    <s v="Michael Kors - Ahmed Seddiqi &amp; Sons"/>
    <s v="Ahmed Seddiqi &amp; Sons"/>
    <s v="YaHala Exclusive"/>
    <x v="0"/>
    <s v="Fashion"/>
    <m/>
    <m/>
    <s v="17% Off"/>
    <s v="Active"/>
    <d v="2025-12-05T00:00:00"/>
    <d v="2026-12-30T00:00:00"/>
    <d v="2026-12-30T00:00:00"/>
    <s v="Auto renewal"/>
    <m/>
    <s v="Dubai"/>
  </r>
  <r>
    <n v="66"/>
    <s v="X23880466"/>
    <s v="Chanel"/>
    <s v="Ahmed Seddiqi &amp; Sons"/>
    <s v="YaHala Exclusive"/>
    <x v="0"/>
    <s v="Fashion"/>
    <m/>
    <m/>
    <s v="15% Off"/>
    <s v="Inactive"/>
    <s v=""/>
    <d v="2025-05-23T00:00:00"/>
    <s v="Deactive"/>
    <s v="Autorenewal"/>
    <m/>
    <s v=""/>
  </r>
  <r>
    <n v="67"/>
    <s v="X23880448"/>
    <s v="Chopard"/>
    <s v="Ahmed Seddiqi &amp; Sons"/>
    <s v="YaHala Exclusive"/>
    <x v="0"/>
    <s v="Fashion"/>
    <m/>
    <m/>
    <s v="7% Off"/>
    <s v="Active"/>
    <d v="2025-12-05T00:00:00"/>
    <d v="2026-12-30T00:00:00"/>
    <d v="2026-12-30T00:00:00"/>
    <s v="Auto renewal"/>
    <m/>
    <s v="Dubai"/>
  </r>
  <r>
    <n v="68"/>
    <s v="X23880469"/>
    <s v="Corum"/>
    <s v="Ahmed Seddiqi &amp; Sons"/>
    <s v="YaHala Exclusive"/>
    <x v="0"/>
    <s v="Fashion"/>
    <m/>
    <m/>
    <s v="20% Off "/>
    <s v="Inactive"/>
    <s v=""/>
    <d v="2025-05-21T00:00:00"/>
    <s v="Deactive"/>
    <s v="Autorenewal"/>
    <m/>
    <s v=""/>
  </r>
  <r>
    <n v="69"/>
    <s v="X23880468"/>
    <s v="Concord -Ahmed Seddiqi &amp; Sons"/>
    <s v="Ahmed Seddiqi &amp; Sons"/>
    <s v="YaHala Exclusive"/>
    <x v="0"/>
    <s v="Fashion"/>
    <m/>
    <m/>
    <s v="12% Off "/>
    <s v="Active"/>
    <d v="2025-12-05T00:00:00"/>
    <d v="2026-12-30T00:00:00"/>
    <d v="2026-12-30T00:00:00"/>
    <s v="Auto renewal"/>
    <m/>
    <s v="Dubai"/>
  </r>
  <r>
    <n v="70"/>
    <s v="X23880470"/>
    <s v="Daniel Wellington- Ahmed Seddiqi &amp; Sons"/>
    <s v="Ahmed Seddiqi &amp; Sons"/>
    <s v="YaHala Exclusive"/>
    <x v="0"/>
    <s v="Fashion"/>
    <m/>
    <m/>
    <s v="17% Off "/>
    <s v="Active"/>
    <d v="2025-12-05T00:00:00"/>
    <d v="2026-12-30T00:00:00"/>
    <d v="2026-12-30T00:00:00"/>
    <s v="Auto renewal"/>
    <m/>
    <s v="Dubai"/>
  </r>
  <r>
    <n v="71"/>
    <s v="X23880449"/>
    <s v="De Grisogono"/>
    <s v="Ahmed Seddiqi &amp; Sons"/>
    <s v="YaHala Exclusive"/>
    <x v="0"/>
    <s v="jewelry"/>
    <m/>
    <m/>
    <s v="20% Off"/>
    <s v="Inactive"/>
    <s v=""/>
    <d v="2025-11-25T00:00:00"/>
    <s v="Deactive"/>
    <s v="Autorenewal"/>
    <m/>
    <s v=""/>
  </r>
  <r>
    <n v="72"/>
    <s v="X23880552"/>
    <s v="Dior - Ahmed Seddiqi &amp; Sons"/>
    <s v="Ahmed Seddiqi &amp; Sons"/>
    <s v="YaHala Exclusive"/>
    <x v="0"/>
    <s v="jewelry"/>
    <m/>
    <m/>
    <s v="12% Off"/>
    <s v="Inactive"/>
    <s v=""/>
    <d v="2025-12-31T00:00:00"/>
    <s v="Deactive"/>
    <s v="Autorenewal"/>
    <m/>
    <s v=""/>
  </r>
  <r>
    <n v="73"/>
    <s v="X23880457"/>
    <s v="Emporio Armani - Ahmed Seddiqi &amp; Sons"/>
    <s v="Ahmed Seddiqi &amp; Sons"/>
    <s v="YaHala Exclusive"/>
    <x v="0"/>
    <s v="jewelry"/>
    <m/>
    <m/>
    <s v="17% Off "/>
    <s v="Active"/>
    <d v="2025-12-05T00:00:00"/>
    <d v="2026-12-30T00:00:00"/>
    <d v="2026-12-30T00:00:00"/>
    <s v="Auto renewal"/>
    <m/>
    <s v="Dubai"/>
  </r>
  <r>
    <n v="74"/>
    <s v="X23880508"/>
    <s v="F.P. Journe - Ahmed Seddiqi &amp; Sons"/>
    <s v="Ahmed Seddiqi &amp; Sons"/>
    <s v="YaHala Exclusive"/>
    <x v="0"/>
    <s v="jewelry"/>
    <m/>
    <m/>
    <s v="20% Off"/>
    <s v="Inactive"/>
    <s v=""/>
    <d v="2025-12-30T00:00:00"/>
    <s v="Deactive"/>
    <s v="Autorenewal"/>
    <m/>
    <s v=""/>
  </r>
  <r>
    <n v="75"/>
    <s v="X23880509"/>
    <s v="Ferre Milano"/>
    <s v="Ahmed Seddiqi &amp; Sons"/>
    <s v="YaHala Exclusive"/>
    <x v="0"/>
    <s v="jewelry"/>
    <m/>
    <m/>
    <s v="25% Off"/>
    <s v="Inactive"/>
    <s v=""/>
    <d v="2025-05-23T00:00:00"/>
    <s v="Deactive"/>
    <s v="Autorenewal"/>
    <m/>
    <s v=""/>
  </r>
  <r>
    <n v="76"/>
    <s v="X23880512"/>
    <s v="GC - Ahmed Seddiqi &amp; Sons"/>
    <s v="Ahmed Seddiqi &amp; Sons"/>
    <s v="YaHala Exclusive"/>
    <x v="0"/>
    <s v="jewelry"/>
    <m/>
    <m/>
    <s v="17% Off "/>
    <s v="Active"/>
    <d v="2025-12-05T00:00:00"/>
    <d v="2026-12-30T00:00:00"/>
    <d v="2026-12-30T00:00:00"/>
    <s v="Auto renewal"/>
    <m/>
    <s v="Dubai"/>
  </r>
  <r>
    <n v="77"/>
    <s v="X23880511"/>
    <s v="Fossil - Ahmed Seddiqi &amp; Sons"/>
    <s v="Ahmed Seddiqi &amp; Sons"/>
    <s v="YaHala Exclusive"/>
    <x v="0"/>
    <s v="jewelry"/>
    <m/>
    <m/>
    <s v="17% Off "/>
    <s v="Active"/>
    <d v="2025-12-05T00:00:00"/>
    <d v="2026-12-30T00:00:00"/>
    <d v="2026-12-30T00:00:00"/>
    <s v="Auto renewal"/>
    <m/>
    <s v="Dubai"/>
  </r>
  <r>
    <n v="78"/>
    <s v="X23880515"/>
    <s v="Graham - Ahmed Seddiqi &amp; Sons"/>
    <s v="Ahmed Seddiqi &amp; Sons"/>
    <s v="YaHala Exclusive"/>
    <x v="0"/>
    <s v="jewelry"/>
    <m/>
    <m/>
    <s v="25% Off"/>
    <s v="Inactive"/>
    <s v=""/>
    <d v="2025-05-23T00:00:00"/>
    <s v="Deactive"/>
    <s v="Autorenewal"/>
    <m/>
    <s v=""/>
  </r>
  <r>
    <n v="79"/>
    <s v="X23880516"/>
    <s v="Guess - Ahmed Seddiqi &amp; Sons"/>
    <s v="Ahmed Seddiqi &amp; Sons"/>
    <s v="YaHala Exclusive"/>
    <x v="0"/>
    <s v="jewelry"/>
    <m/>
    <m/>
    <s v="17% Off "/>
    <s v="Active"/>
    <d v="2025-12-05T00:00:00"/>
    <d v="2026-12-30T00:00:00"/>
    <d v="2026-12-30T00:00:00"/>
    <s v="Auto renewal"/>
    <m/>
    <s v="Dubai"/>
  </r>
  <r>
    <n v="80"/>
    <s v="X23880517"/>
    <s v="H. Moser &amp; Cie - Ahmed Seddiqi &amp; Sons"/>
    <s v="Ahmed Seddiqi &amp; Sons"/>
    <s v="YaHala Exclusive"/>
    <x v="0"/>
    <s v="jewelry"/>
    <m/>
    <m/>
    <s v="25% Off"/>
    <s v="Inactive"/>
    <s v=""/>
    <d v="2025-05-23T00:00:00"/>
    <s v="Deactive"/>
    <s v="Autorenewal"/>
    <m/>
    <s v=""/>
  </r>
  <r>
    <n v="81"/>
    <s v="X23880549"/>
    <s v="Hublot"/>
    <s v="Ahmed Seddiqi &amp; Sons"/>
    <s v="YaHala Exclusive"/>
    <x v="0"/>
    <s v="jewelry"/>
    <m/>
    <m/>
    <s v="8% off"/>
    <s v="Inactive"/>
    <s v=""/>
    <d v="2025-05-23T00:00:00"/>
    <s v="Deactive"/>
    <s v="Autorenewal"/>
    <m/>
    <s v=""/>
  </r>
  <r>
    <n v="82"/>
    <s v="X23880514"/>
    <s v="IWC Schaffhausen"/>
    <s v="Ahmed Seddiqi &amp; Sons"/>
    <s v="YaHala Exclusive"/>
    <x v="0"/>
    <s v="jewelry"/>
    <m/>
    <m/>
    <s v="25% Off"/>
    <s v="Inactive"/>
    <s v=""/>
    <d v="2025-05-23T00:00:00"/>
    <s v="Deactive"/>
    <s v="Autorenewal"/>
    <m/>
    <s v=""/>
  </r>
  <r>
    <n v="83"/>
    <s v="X23880550"/>
    <s v="Kate Spade- Ahmed Seddiqi &amp; Sons"/>
    <s v="Ahmed Seddiqi &amp; Sons"/>
    <s v="YaHala Exclusive"/>
    <x v="0"/>
    <s v="jewelry"/>
    <m/>
    <m/>
    <s v="25% Off"/>
    <s v="Inactive"/>
    <s v=""/>
    <d v="2025-05-23T00:00:00"/>
    <s v="Deactive"/>
    <s v="Autorenewal"/>
    <m/>
    <s v=""/>
  </r>
  <r>
    <n v="84"/>
    <s v="X23880450"/>
    <s v="Messika- Ahmed Seddiqi &amp; Sons"/>
    <s v="Ahmed Seddiqi &amp; Sons"/>
    <s v="YaHala Exclusive"/>
    <x v="0"/>
    <s v="jewelry"/>
    <m/>
    <m/>
    <s v="12% Off"/>
    <s v="Inactive"/>
    <s v=""/>
    <d v="2025-05-23T00:00:00"/>
    <s v="Deactive"/>
    <s v="Autorenewal"/>
    <m/>
    <s v=""/>
  </r>
  <r>
    <n v="85"/>
    <s v="X23880513"/>
    <s v="Michael Kors - Ahmed Seddiqi &amp; Sons"/>
    <s v="Ahmed Seddiqi &amp; Sons"/>
    <s v="YaHala Exclusive"/>
    <x v="0"/>
    <s v="jewelry"/>
    <m/>
    <m/>
    <s v="17% Off "/>
    <s v="Active"/>
    <d v="2025-12-05T00:00:00"/>
    <d v="2026-12-30T00:00:00"/>
    <d v="2026-12-30T00:00:00"/>
    <s v="Auto renewal"/>
    <m/>
    <s v="Dubai"/>
  </r>
  <r>
    <n v="86"/>
    <s v="X23880551"/>
    <s v="Mortiz Grossman - Ahmed Seddiqi &amp; Sons"/>
    <s v="Ahmed Seddiqi &amp; Sons"/>
    <s v="YaHala Exclusive"/>
    <x v="0"/>
    <s v="jewelry"/>
    <m/>
    <m/>
    <s v="25% Off"/>
    <s v="Inactive"/>
    <s v=""/>
    <d v="2025-05-23T00:00:00"/>
    <s v="Deactive"/>
    <s v="Autorenewal"/>
    <m/>
    <s v=""/>
  </r>
  <r>
    <n v="87"/>
    <s v="X23880459"/>
    <s v="Movado- Ahmed Seddiqi &amp; Sons"/>
    <s v="Ahmed Seddiqi &amp; Sons"/>
    <s v="YaHala Exclusive"/>
    <x v="0"/>
    <s v="jewelry"/>
    <m/>
    <m/>
    <s v="17% Off"/>
    <s v="Active"/>
    <d v="2025-12-05T00:00:00"/>
    <d v="2026-12-30T00:00:00"/>
    <d v="2026-12-30T00:00:00"/>
    <s v="Auto renewal"/>
    <m/>
    <s v="Dubai"/>
  </r>
  <r>
    <n v="88"/>
    <s v="X23880518"/>
    <s v="Panerai - Ahmed Seddiqi &amp; Sons"/>
    <s v="Ahmed Seddiqi &amp; Sons"/>
    <s v="YaHala Exclusive"/>
    <x v="0"/>
    <s v="jewelry"/>
    <m/>
    <m/>
    <s v="15% Off"/>
    <s v="Inactive"/>
    <s v=""/>
    <d v="2025-05-23T00:00:00"/>
    <s v="Deactive"/>
    <s v="Autorenewal"/>
    <m/>
    <s v=""/>
  </r>
  <r>
    <n v="89"/>
    <s v="X23880519"/>
    <s v="Piaget - Ahmed Seddiqi &amp; Sons"/>
    <s v="Ahmed Seddiqi &amp; Sons"/>
    <s v="YaHala Exclusive"/>
    <x v="0"/>
    <s v="jewelry"/>
    <m/>
    <m/>
    <s v="15% Off"/>
    <s v="Inactive"/>
    <s v=""/>
    <d v="2025-05-23T00:00:00"/>
    <s v="Deactive"/>
    <s v="Autorenewal"/>
    <m/>
    <s v=""/>
  </r>
  <r>
    <n v="90"/>
    <s v="X23880453"/>
    <s v="Richard Mille - Ahmed Seddiqi &amp; Sons"/>
    <s v="Ahmed Seddiqi &amp; Sons"/>
    <s v="YaHala Exclusive"/>
    <x v="0"/>
    <s v="jewelry"/>
    <m/>
    <m/>
    <s v="5% Off"/>
    <s v="Inactive"/>
    <s v=""/>
    <d v="2025-05-23T00:00:00"/>
    <s v="Deactive"/>
    <s v="Autorenewal"/>
    <m/>
    <s v=""/>
  </r>
  <r>
    <n v="91"/>
    <s v="X23880461"/>
    <s v="Roger Dubuis - Ahmed Seddiqi &amp; Sons"/>
    <s v="Ahmed Seddiqi &amp; Sons"/>
    <s v="YaHala Exclusive"/>
    <x v="0"/>
    <s v="jewelry"/>
    <m/>
    <m/>
    <s v="20% Off"/>
    <s v="Inactive"/>
    <s v=""/>
    <d v="2025-05-23T00:00:00"/>
    <s v="Deactive"/>
    <s v="Autorenewal"/>
    <m/>
    <s v=""/>
  </r>
  <r>
    <n v="92"/>
    <s v="X23880520"/>
    <s v="Ressence - Ahmed Seddiqi &amp; Sons"/>
    <s v="Ahmed Seddiqi &amp; Sons"/>
    <s v="YaHala Exclusive"/>
    <x v="0"/>
    <s v="jewelry"/>
    <m/>
    <m/>
    <s v="15% Off"/>
    <s v="Inactive"/>
    <s v=""/>
    <d v="2025-05-23T00:00:00"/>
    <s v="Deactive"/>
    <s v="Autorenewal"/>
    <m/>
    <s v=""/>
  </r>
  <r>
    <n v="93"/>
    <s v="X23880454"/>
    <s v="Romain Jerome - Ahmed Seddiqi &amp; Sons"/>
    <s v="Ahmed Seddiqi &amp; Sons"/>
    <s v="YaHala Exclusive"/>
    <x v="0"/>
    <s v="jewelry"/>
    <m/>
    <m/>
    <s v="25% Off"/>
    <s v="Inactive"/>
    <s v=""/>
    <d v="2025-05-23T00:00:00"/>
    <s v="Deactive"/>
    <s v="Autorenewal"/>
    <m/>
    <s v=""/>
  </r>
  <r>
    <n v="94"/>
    <s v="X23880455"/>
    <s v="Tag Heure - Ahmed Seddiqi &amp; Sons"/>
    <s v="Ahmed Seddiqi &amp; Sons"/>
    <s v="YaHala Exclusive"/>
    <x v="0"/>
    <s v="jewelry"/>
    <m/>
    <m/>
    <s v="7% Off"/>
    <s v="Active"/>
    <d v="2025-12-05T00:00:00"/>
    <d v="2026-12-30T00:00:00"/>
    <d v="2026-12-30T00:00:00"/>
    <s v="Auto renewal"/>
    <m/>
    <s v="Dubai"/>
  </r>
  <r>
    <n v="95"/>
    <s v="X23880452"/>
    <s v="Tudor - Ahmed Seddiqi &amp; Sons"/>
    <s v="Ahmed Seddiqi &amp; Sons"/>
    <s v="YaHala Exclusive"/>
    <x v="0"/>
    <s v="jewelry"/>
    <m/>
    <m/>
    <s v="20% Off"/>
    <s v="Inactive"/>
    <s v=""/>
    <d v="2025-12-31T00:00:00"/>
    <s v="Deactive"/>
    <s v="Autorenewal"/>
    <m/>
    <s v=""/>
  </r>
  <r>
    <n v="96"/>
    <s v="X23880553"/>
    <s v="Victorinox- Ahmed Seddiqi &amp; Sons"/>
    <s v="Ahmed Seddiqi &amp; Sons"/>
    <s v="YaHala Exclusive"/>
    <x v="0"/>
    <s v="jewelry"/>
    <m/>
    <m/>
    <s v="17% Off"/>
    <s v="Active"/>
    <d v="2025-12-05T00:00:00"/>
    <d v="2026-12-30T00:00:00"/>
    <d v="2026-12-30T00:00:00"/>
    <s v="Auto renewal"/>
    <m/>
    <s v="Dubai"/>
  </r>
  <r>
    <n v="97"/>
    <s v="X23880555"/>
    <s v="Visconti"/>
    <s v="Ahmed Seddiqi &amp; Sons"/>
    <s v="YaHala Exclusive"/>
    <x v="0"/>
    <s v="jewelry"/>
    <m/>
    <m/>
    <s v="12% Off "/>
    <s v="Active"/>
    <d v="2025-12-05T00:00:00"/>
    <d v="2026-12-30T00:00:00"/>
    <d v="2026-12-30T00:00:00"/>
    <s v="Auto renewal"/>
    <m/>
    <s v="Dubai"/>
  </r>
  <r>
    <n v="98"/>
    <s v="X23880554"/>
    <s v="West End"/>
    <s v="Ahmed Seddiqi &amp; Sons"/>
    <s v="YaHala Exclusive"/>
    <x v="0"/>
    <s v="jewelry"/>
    <m/>
    <m/>
    <s v="17% Off "/>
    <s v="Active"/>
    <d v="2025-12-05T00:00:00"/>
    <d v="2026-12-30T00:00:00"/>
    <d v="2026-12-30T00:00:00"/>
    <s v="Auto renewal"/>
    <m/>
    <s v="Dubai"/>
  </r>
  <r>
    <n v="99"/>
    <s v="X23913214"/>
    <s v="Noon"/>
    <s v="Noon Group"/>
    <s v="YaHala Exclusive"/>
    <x v="0"/>
    <s v="Other"/>
    <m/>
    <s v="Use Code YAHALAPMO"/>
    <s v="Maximum discount is 50 AED"/>
    <s v="Inactive"/>
    <d v="2025-12-05T00:00:00"/>
    <d v="2022-01-13T00:00:00"/>
    <s v="Deactive"/>
    <s v="Expired as per Faisal"/>
    <m/>
    <s v="Dubai"/>
  </r>
  <r>
    <n v="100"/>
    <s v="X23901881"/>
    <s v="Now Now"/>
    <s v="Now Now"/>
    <s v="YaHala Exclusive"/>
    <x v="0"/>
    <s v="Fashion"/>
    <m/>
    <s v="Use Code YAHALAPMO"/>
    <s v="10% Off"/>
    <s v="Inactive"/>
    <s v=""/>
    <d v="2023-05-01T00:00:00"/>
    <s v="Deactive"/>
    <s v="Expired as per Faisal"/>
    <m/>
    <s v=""/>
  </r>
  <r>
    <n v="101"/>
    <s v="X23942040"/>
    <s v="Diesel"/>
    <s v="Ahmed Seddiqi &amp; Sons"/>
    <s v="YaHala Exclusive"/>
    <x v="0"/>
    <s v="jewelry"/>
    <m/>
    <m/>
    <s v="17% Off "/>
    <s v="Active"/>
    <d v="2025-12-05T00:00:00"/>
    <d v="2026-12-30T00:00:00"/>
    <d v="2026-12-30T00:00:00"/>
    <s v="Auto renewal"/>
    <m/>
    <s v="Dubai"/>
  </r>
  <r>
    <n v="102"/>
    <s v="X23942042"/>
    <s v="Dkny"/>
    <s v="Ahmed Seddiqi &amp; Sons"/>
    <s v="YaHala Exclusive"/>
    <x v="0"/>
    <s v="jewelry"/>
    <m/>
    <m/>
    <s v="17% Off "/>
    <s v="Active"/>
    <d v="2025-12-05T00:00:00"/>
    <d v="2026-12-30T00:00:00"/>
    <d v="2026-12-30T00:00:00"/>
    <s v="Auto renewal"/>
    <m/>
    <s v="Dubai"/>
  </r>
  <r>
    <n v="103"/>
    <s v="X23941528"/>
    <s v="Emporio Armani  Swiss- Ahmed Seddiqi &amp; Sons"/>
    <s v="Ahmed Seddiqi &amp; Sons"/>
    <s v="YaHala Exclusive"/>
    <x v="0"/>
    <s v="jewelry"/>
    <m/>
    <m/>
    <s v="17% Off "/>
    <s v="Active"/>
    <d v="2025-12-03T00:00:00"/>
    <d v="2026-12-30T00:00:00"/>
    <d v="2026-12-30T00:00:00"/>
    <s v="Auto renewal"/>
    <m/>
    <s v="Dubai"/>
  </r>
  <r>
    <n v="104"/>
    <s v="X23941493"/>
    <s v="Movado Edge - Ahmed Seddiqi &amp; Sons"/>
    <s v="Ahmed Seddiqi &amp; Sons"/>
    <s v="YaHala Exclusive"/>
    <x v="0"/>
    <s v="jewelry"/>
    <m/>
    <m/>
    <s v="17% Off "/>
    <s v="Active"/>
    <d v="2025-12-05T00:00:00"/>
    <d v="2026-12-30T00:00:00"/>
    <d v="2026-12-30T00:00:00"/>
    <s v="Auto renewal"/>
    <m/>
    <s v="Dubai"/>
  </r>
  <r>
    <n v="105"/>
    <s v="X23942885"/>
    <s v="Skagen - Ahmed Seddiqi &amp; Sons"/>
    <s v="Ahmed Seddiqi &amp; Sons"/>
    <s v="YaHala Exclusive"/>
    <x v="0"/>
    <s v="jewelry"/>
    <m/>
    <m/>
    <s v="17% Off "/>
    <s v="Active"/>
    <d v="2025-12-05T00:00:00"/>
    <d v="2026-12-30T00:00:00"/>
    <d v="2026-12-30T00:00:00"/>
    <s v="Auto renewal"/>
    <m/>
    <s v="Dubai"/>
  </r>
  <r>
    <n v="106"/>
    <s v="X23946450"/>
    <s v="Adidas - Ahmed Seddiqi &amp; Sons"/>
    <s v="Ahmed Seddiqi &amp; Sons"/>
    <s v="YaHala Exclusive"/>
    <x v="0"/>
    <s v="jewelry"/>
    <m/>
    <m/>
    <s v="17% Off "/>
    <s v="Active"/>
    <d v="2025-12-05T00:00:00"/>
    <d v="2026-12-30T00:00:00"/>
    <d v="2026-12-30T00:00:00"/>
    <s v="Auto renewal"/>
    <m/>
    <s v="Dubai"/>
  </r>
  <r>
    <n v="107"/>
    <s v="X23946449"/>
    <s v="Furla - Ahmed Seddiqi &amp; Sons"/>
    <s v="Ahmed Seddiqi &amp; Sons"/>
    <s v="YaHala Exclusive"/>
    <x v="0"/>
    <s v="jewelry"/>
    <m/>
    <m/>
    <s v="17% Off "/>
    <s v="Active"/>
    <d v="2025-12-03T00:00:00"/>
    <d v="2026-12-30T00:00:00"/>
    <d v="2026-12-30T00:00:00"/>
    <s v="Auto renewal"/>
    <m/>
    <s v="Dubai"/>
  </r>
  <r>
    <n v="108"/>
    <s v="X23942048"/>
    <s v="Bell &amp; Ross - Ahmed Seddiqi &amp; Sons"/>
    <s v="Ahmed Seddiqi &amp; Sons"/>
    <s v="YaHala Exclusive"/>
    <x v="0"/>
    <s v="jewelry"/>
    <m/>
    <m/>
    <s v="12% Off "/>
    <s v="Active"/>
    <d v="2025-12-05T00:00:00"/>
    <d v="2026-12-30T00:00:00"/>
    <d v="2026-12-30T00:00:00"/>
    <s v="Auto renewal"/>
    <m/>
    <s v="Dubai"/>
  </r>
  <r>
    <n v="109"/>
    <s v="X23942049"/>
    <s v="Benedicte de Boysson - Ahmed Seddiqi &amp; Sons"/>
    <s v="Ahmed Seddiqi &amp; Sons"/>
    <s v="YaHala Exclusive"/>
    <x v="0"/>
    <s v="jewelry"/>
    <m/>
    <m/>
    <s v="20% Off"/>
    <s v="Inactive"/>
    <s v=""/>
    <d v="2025-05-23T00:00:00"/>
    <s v="Deactive"/>
    <s v="Autorenewal"/>
    <m/>
    <s v=""/>
  </r>
  <r>
    <n v="110"/>
    <s v="X23942050"/>
    <s v="Bernard Favre - Ahmed Seddiqi &amp; Sons"/>
    <s v="Ahmed Seddiqi &amp; Sons"/>
    <s v="YaHala Exclusive"/>
    <x v="0"/>
    <s v="jewelry"/>
    <m/>
    <m/>
    <s v="20% Off"/>
    <s v="Inactive"/>
    <s v=""/>
    <d v="2025-05-23T00:00:00"/>
    <s v="Deactive"/>
    <s v="Autorenewal"/>
    <m/>
    <s v=""/>
  </r>
  <r>
    <n v="111"/>
    <s v="X23933682"/>
    <s v="Breitling - Ahmed Seddiqi &amp; Sons"/>
    <s v="Ahmed Seddiqi &amp; Sons"/>
    <s v="YaHala Exclusive"/>
    <x v="0"/>
    <s v="jewelry"/>
    <m/>
    <m/>
    <s v="7% Off"/>
    <s v="Active"/>
    <d v="2025-11-27T00:00:00"/>
    <d v="2026-12-30T00:00:00"/>
    <d v="2026-12-30T00:00:00"/>
    <s v="Auto renewal"/>
    <m/>
    <s v="Dubai"/>
  </r>
  <r>
    <n v="112"/>
    <s v="X23941389"/>
    <s v="BUBEN &amp; ZORWEG"/>
    <s v="Ahmed Seddiqi &amp; Sons"/>
    <s v="YaHala Exclusive"/>
    <x v="0"/>
    <s v="jewelry"/>
    <m/>
    <m/>
    <s v="12% Off"/>
    <s v="Active"/>
    <d v="2025-12-05T00:00:00"/>
    <d v="2026-12-30T00:00:00"/>
    <d v="2026-12-30T00:00:00"/>
    <s v="Auto renewal"/>
    <m/>
    <s v="Dubai"/>
  </r>
  <r>
    <n v="113"/>
    <s v="X23942051"/>
    <s v="Claude Meylan - Ahmed Seddiqi &amp; Sons"/>
    <s v="Ahmed Seddiqi &amp; Sons"/>
    <s v="YaHala Exclusive"/>
    <x v="0"/>
    <s v="jewelry"/>
    <m/>
    <m/>
    <s v="20% Off "/>
    <s v="Inactive"/>
    <s v=""/>
    <d v="2025-05-23T00:00:00"/>
    <s v="Deactive"/>
    <s v="Autorenewal"/>
    <m/>
    <s v=""/>
  </r>
  <r>
    <n v="114"/>
    <s v="X23942052"/>
    <s v="Frederique Constant - Ahmed Seddiqi &amp; Sons"/>
    <s v="Ahmed Seddiqi &amp; Sons"/>
    <s v="YaHala Exclusive"/>
    <x v="0"/>
    <s v="jewelry"/>
    <m/>
    <m/>
    <s v="12% Off "/>
    <s v="Active"/>
    <d v="2025-12-05T00:00:00"/>
    <d v="2026-12-30T00:00:00"/>
    <d v="2026-12-30T00:00:00"/>
    <s v="Auto renewal"/>
    <m/>
    <s v="Dubai"/>
  </r>
  <r>
    <n v="115"/>
    <s v="X23942053"/>
    <s v="Louis Erard - Ahmed Seddiqi &amp; Sons"/>
    <s v="Ahmed Seddiqi &amp; Sons"/>
    <s v="YaHala Exclusive"/>
    <x v="0"/>
    <s v="jewelry"/>
    <m/>
    <m/>
    <s v="12% Off "/>
    <s v="Active"/>
    <d v="2025-12-05T00:00:00"/>
    <d v="2026-12-30T00:00:00"/>
    <d v="2026-12-30T00:00:00"/>
    <s v="Auto renewal"/>
    <m/>
    <s v="Dubai"/>
  </r>
  <r>
    <n v="116"/>
    <s v="X23942054"/>
    <s v="MeisterSinger - Ahmed Seddiqi &amp; Sons"/>
    <s v="Ahmed Seddiqi &amp; Sons"/>
    <s v="YaHala Exclusive"/>
    <x v="0"/>
    <s v="jewelry"/>
    <m/>
    <m/>
    <s v="25% Off"/>
    <s v="Inactive"/>
    <s v=""/>
    <d v="2025-05-23T00:00:00"/>
    <s v="Deactive"/>
    <s v="Autorenewal"/>
    <m/>
    <s v=""/>
  </r>
  <r>
    <n v="117"/>
    <s v="X23942055"/>
    <s v="Norqain - Ahmed Seddiqi &amp; Sons"/>
    <s v="Ahmed Seddiqi &amp; Sons"/>
    <s v="YaHala Exclusive"/>
    <x v="0"/>
    <s v="jewelry"/>
    <m/>
    <m/>
    <s v="12% Off "/>
    <s v="Active"/>
    <d v="2025-12-05T00:00:00"/>
    <d v="2026-12-30T00:00:00"/>
    <d v="2026-12-30T00:00:00"/>
    <s v="Auto renewal"/>
    <m/>
    <s v="Dubai"/>
  </r>
  <r>
    <n v="118"/>
    <s v="X23942058"/>
    <s v="Pasquale Bruni - Ahmed Seddiqi &amp; Sons"/>
    <s v="Ahmed Seddiqi &amp; Sons"/>
    <s v="YaHala Exclusive"/>
    <x v="0"/>
    <s v="jewelry"/>
    <m/>
    <m/>
    <s v="15% Off"/>
    <s v="Active"/>
    <d v="2025-12-05T00:00:00"/>
    <d v="2026-12-30T00:00:00"/>
    <d v="2026-12-30T00:00:00"/>
    <s v="Auto renewal"/>
    <m/>
    <s v="Dubai"/>
  </r>
  <r>
    <n v="119"/>
    <s v="X23942060"/>
    <s v="Rapport"/>
    <s v="Ahmed Seddiqi &amp; Sons"/>
    <s v="YaHala Exclusive"/>
    <x v="0"/>
    <s v="jewelry"/>
    <m/>
    <m/>
    <s v="25% Off"/>
    <s v="Inactive"/>
    <s v=""/>
    <d v="2025-12-30T00:00:00"/>
    <s v="Deactive"/>
    <s v="Autorenewal"/>
    <m/>
    <s v=""/>
  </r>
  <r>
    <n v="120"/>
    <s v="X23942089"/>
    <s v="Salvini - Ahmed Seddiqi &amp; Sons"/>
    <s v="Ahmed Seddiqi &amp; Sons"/>
    <s v="YaHala Exclusive"/>
    <x v="0"/>
    <s v="jewelry"/>
    <m/>
    <m/>
    <s v="20% Off "/>
    <s v="Inactive"/>
    <s v=""/>
    <d v="2025-12-30T00:00:00"/>
    <s v="Deactive"/>
    <s v="Autorenewal"/>
    <m/>
    <s v=""/>
  </r>
  <r>
    <n v="121"/>
    <s v="X23946448"/>
    <s v="Bremont - Ahmed Seddiqi &amp; Sons"/>
    <s v="Ahmed Seddiqi &amp; Sons"/>
    <s v="YaHala Exclusive"/>
    <x v="0"/>
    <s v="jewelry"/>
    <m/>
    <m/>
    <s v="20% Off"/>
    <s v="Active"/>
    <d v="2025-12-05T00:00:00"/>
    <d v="2026-12-30T00:00:00"/>
    <d v="2026-12-30T00:00:00"/>
    <s v="Auto renewal"/>
    <m/>
    <s v="Dubai"/>
  </r>
  <r>
    <n v="122"/>
    <s v="X23946447"/>
    <s v="Persee - Ahmed Seddiqi &amp; Sons"/>
    <s v="Ahmed Seddiqi &amp; Sons"/>
    <s v="YaHala Exclusive"/>
    <x v="0"/>
    <s v="jewelry"/>
    <m/>
    <m/>
    <s v="12% Off "/>
    <s v="Active"/>
    <d v="2025-12-05T00:00:00"/>
    <d v="2026-12-30T00:00:00"/>
    <d v="2026-12-30T00:00:00"/>
    <s v="Auto renewal"/>
    <m/>
    <s v="Dubai"/>
  </r>
  <r>
    <n v="123"/>
    <s v="X23942875"/>
    <s v="Alpina - Ahmed Seddiqi &amp; Sons"/>
    <s v="Ahmed Seddiqi &amp; Sons"/>
    <s v="YaHala Exclusive"/>
    <x v="0"/>
    <s v="jewelry"/>
    <m/>
    <m/>
    <s v="15% Off"/>
    <s v="Active"/>
    <d v="2025-12-04T00:00:00"/>
    <d v="2026-12-30T00:00:00"/>
    <d v="2026-12-30T00:00:00"/>
    <s v="Auto renewal"/>
    <m/>
    <s v="Dubai"/>
  </r>
  <r>
    <n v="124"/>
    <s v="X23942874"/>
    <s v="Chronoswiss - Ahmed Seddiqi &amp; Sons"/>
    <s v="Ahmed Seddiqi &amp; Sons"/>
    <s v="YaHala Exclusive"/>
    <x v="0"/>
    <s v="jewelry"/>
    <m/>
    <m/>
    <s v="12% Off "/>
    <s v="Active"/>
    <d v="2025-12-04T00:00:00"/>
    <d v="2026-12-30T00:00:00"/>
    <d v="2026-12-30T00:00:00"/>
    <s v="Auto renewal"/>
    <m/>
    <s v="Dubai"/>
  </r>
  <r>
    <n v="125"/>
    <s v="X23942873"/>
    <s v="U-Boat - Ahmed Seddiqi &amp; Sons"/>
    <s v="Ahmed Seddiqi &amp; Sons"/>
    <s v="YaHala Exclusive"/>
    <x v="0"/>
    <s v="jewelry"/>
    <m/>
    <m/>
    <s v="12% Off "/>
    <s v="Active"/>
    <d v="2025-12-05T00:00:00"/>
    <d v="2026-12-30T00:00:00"/>
    <d v="2026-12-30T00:00:00"/>
    <s v="Auto renewal"/>
    <m/>
    <s v="Dubai"/>
  </r>
  <r>
    <n v="126"/>
    <s v="X23942872"/>
    <s v="Doxa"/>
    <s v="Ahmed Seddiqi &amp; Sons"/>
    <s v="YaHala Exclusive"/>
    <x v="0"/>
    <s v="jewelry"/>
    <m/>
    <m/>
    <s v="12% Off "/>
    <s v="Active"/>
    <d v="2025-12-05T00:00:00"/>
    <d v="2026-12-30T00:00:00"/>
    <d v="2026-12-30T00:00:00"/>
    <s v="Auto renewal"/>
    <m/>
    <s v="Dubai"/>
  </r>
  <r>
    <n v="127"/>
    <s v="X23942871"/>
    <s v="RESERVOIR - Ahmed Seddiqi &amp; Sons"/>
    <s v="Ahmed Seddiqi &amp; Sons"/>
    <s v="YaHala Exclusive"/>
    <x v="0"/>
    <s v="jewelry"/>
    <m/>
    <m/>
    <s v="12% Off "/>
    <s v="Active"/>
    <d v="2025-12-05T00:00:00"/>
    <d v="2026-12-30T00:00:00"/>
    <d v="2026-12-30T00:00:00"/>
    <s v="Auto renewal"/>
    <m/>
    <s v="Dubai"/>
  </r>
  <r>
    <n v="128"/>
    <s v="X23942105"/>
    <s v="Oris - Ahmed Seddiqi &amp; Sons"/>
    <s v="Ahmed Seddiqi &amp; Sons"/>
    <s v="YaHala Exclusive"/>
    <x v="0"/>
    <s v="jewelry"/>
    <m/>
    <m/>
    <s v="12% Off "/>
    <s v="Active"/>
    <d v="2025-12-05T00:00:00"/>
    <d v="2026-12-30T00:00:00"/>
    <d v="2026-12-30T00:00:00"/>
    <s v="Auto renewal"/>
    <m/>
    <s v="Dubai"/>
  </r>
  <r>
    <n v="129"/>
    <s v="X23927471"/>
    <s v="Ulysse Nardin"/>
    <s v="Ahmed Seddiqi &amp; Sons"/>
    <s v="YaHala Exclusive"/>
    <x v="0"/>
    <s v="jewelry"/>
    <m/>
    <m/>
    <s v="12% Off "/>
    <s v="Active"/>
    <d v="2025-12-05T00:00:00"/>
    <d v="2026-12-30T00:00:00"/>
    <d v="2026-12-30T00:00:00"/>
    <s v="Auto renewal"/>
    <m/>
    <s v="Dubai"/>
  </r>
  <r>
    <n v="130"/>
    <s v="X23942103"/>
    <s v="Swiza - Ahmed Seddiqi &amp; Sons"/>
    <s v="Ahmed Seddiqi &amp; Sons"/>
    <s v="YaHala Exclusive"/>
    <x v="0"/>
    <s v="jewelry"/>
    <m/>
    <m/>
    <s v="15% Off"/>
    <s v="Active"/>
    <d v="2025-12-03T00:00:00"/>
    <d v="2026-12-30T00:00:00"/>
    <d v="2026-12-30T00:00:00"/>
    <s v="Auto renewal"/>
    <m/>
    <s v="Dubai"/>
  </r>
  <r>
    <n v="131"/>
    <s v="X23942102"/>
    <s v="S.T. Dupont - Ahmed Seddiqi &amp; Sons"/>
    <s v="Ahmed Seddiqi &amp; Sons"/>
    <s v="YaHala Exclusive"/>
    <x v="0"/>
    <s v="Other"/>
    <m/>
    <m/>
    <s v="8% Off "/>
    <s v="Active"/>
    <d v="2025-12-05T00:00:00"/>
    <d v="2026-12-30T00:00:00"/>
    <d v="2026-12-30T00:00:00"/>
    <s v="Auto renewal"/>
    <m/>
    <s v="Dubai"/>
  </r>
  <r>
    <n v="132"/>
    <s v="X23895495"/>
    <s v="Human Relations Institute &amp; Clinics"/>
    <m/>
    <s v="YaHala Exclusive"/>
    <x v="4"/>
    <s v="Clinic"/>
    <m/>
    <m/>
    <s v="40% Off"/>
    <s v="Inactive"/>
    <d v="2025-12-05T00:00:00"/>
    <d v="2025-08-24T00:00:00"/>
    <s v="Deactive"/>
    <s v="Autorenewal"/>
    <m/>
    <s v="Dubai"/>
  </r>
  <r>
    <n v="134"/>
    <s v="X23943136"/>
    <s v="Armani Exchange"/>
    <s v="Ahmed Seddiqi &amp; Sons"/>
    <s v="YaHala Exclusive"/>
    <x v="0"/>
    <s v="jewelry"/>
    <m/>
    <m/>
    <s v="17% Off"/>
    <s v="Active"/>
    <d v="2025-12-04T00:00:00"/>
    <d v="2026-12-30T00:00:00"/>
    <d v="2026-12-30T00:00:00"/>
    <s v="Auto renewal"/>
    <m/>
    <s v="Dubai"/>
  </r>
  <r>
    <n v="135"/>
    <s v="X23943135"/>
    <s v="Armani Jewelry"/>
    <s v="Ahmed Seddiqi &amp; Sons"/>
    <s v="YaHala Exclusive"/>
    <x v="0"/>
    <s v="jewelry"/>
    <m/>
    <m/>
    <s v="17% Off"/>
    <s v="Active"/>
    <d v="2025-12-04T00:00:00"/>
    <d v="2026-12-30T00:00:00"/>
    <d v="2026-12-30T00:00:00"/>
    <s v="Auto renewal"/>
    <m/>
    <s v="Dubai"/>
  </r>
  <r>
    <n v="136"/>
    <s v="X23943137"/>
    <s v="Bold By Movado"/>
    <s v="Ahmed Seddiqi &amp; Sons"/>
    <s v="YaHala Exclusive"/>
    <x v="0"/>
    <s v="jewelry"/>
    <m/>
    <m/>
    <s v="17% Off"/>
    <s v="Active"/>
    <d v="2025-12-05T00:00:00"/>
    <d v="2026-12-30T00:00:00"/>
    <d v="2026-12-30T00:00:00"/>
    <s v="Auto renewal"/>
    <m/>
    <s v="Dubai"/>
  </r>
  <r>
    <n v="137"/>
    <s v="X23953407"/>
    <s v="Noon supermall"/>
    <s v="Noon Group"/>
    <s v="YaHala Exclusive"/>
    <x v="0"/>
    <s v="Grocery &amp; Off-Licence"/>
    <s v="noon"/>
    <s v="Use Code YAHALAPMO"/>
    <s v="10%-15%"/>
    <s v="Active"/>
    <d v="2025-12-03T00:00:00"/>
    <d v="2026-12-31T00:00:00"/>
    <d v="2026-12-31T00:00:00"/>
    <s v="Auto renewal"/>
    <m/>
    <s v="Dubai"/>
  </r>
  <r>
    <n v="138"/>
    <s v="X23913214"/>
    <s v="Noon one"/>
    <s v="Noon Group"/>
    <s v="YaHala Exclusive"/>
    <x v="0"/>
    <s v="Grocery &amp; Off-Licence"/>
    <s v="noon"/>
    <s v="Use Code YAHALAPMO"/>
    <s v="10%-15%"/>
    <s v="Active"/>
    <d v="2025-12-05T00:00:00"/>
    <d v="2026-12-31T00:00:00"/>
    <d v="2026-12-31T00:00:00"/>
    <s v="Auto renewal"/>
    <s v="Abu Dhabi"/>
    <s v="Dubai"/>
  </r>
  <r>
    <n v="139"/>
    <s v="X23953431"/>
    <s v="Noon Food"/>
    <s v="Noon Group"/>
    <s v="YaHala Exclusive"/>
    <x v="0"/>
    <s v="Grocery &amp; Off-Licence"/>
    <s v="noon"/>
    <s v="Use Code YAHALAPMO"/>
    <s v="5%-35%"/>
    <s v="Active"/>
    <d v="2025-12-05T00:00:00"/>
    <d v="2026-12-31T00:00:00"/>
    <d v="2026-12-31T00:00:00"/>
    <s v="Auto renewal"/>
    <s v="Abu Dhabi"/>
    <s v="Dubai"/>
  </r>
  <r>
    <n v="140"/>
    <s v="X23955287"/>
    <s v="Sense Seven"/>
    <s v="Sense seven"/>
    <s v="YaHala Exclusive"/>
    <x v="0"/>
    <s v="Confectionary"/>
    <s v="www.sensesevendelicacies.com"/>
    <s v="Use Promocde sense10"/>
    <s v="10% Off"/>
    <s v="Active"/>
    <d v="2025-12-05T00:00:00"/>
    <d v="2026-12-30T00:00:00"/>
    <d v="2026-12-30T00:00:00"/>
    <s v="Auto renewal"/>
    <m/>
    <s v="Dubai"/>
  </r>
  <r>
    <n v="143"/>
    <s v="X23949477"/>
    <s v="Honor online"/>
    <s v="Honor"/>
    <s v="YaHala Exclusive"/>
    <x v="0"/>
    <s v="Electronics"/>
    <s v="https://www.honor.com/ae-en/shop/offer/"/>
    <s v="Use promocode AUAEONLY"/>
    <s v="15% Off"/>
    <s v="Inactive"/>
    <d v="2025-12-05T00:00:00"/>
    <d v="2026-12-30T00:00:00"/>
    <d v="2026-12-30T00:00:00"/>
    <s v="Auto renewal"/>
    <m/>
    <s v="Dubai"/>
  </r>
  <r>
    <n v="144"/>
    <s v="X23953439"/>
    <s v="Le Gramme - Ahmed Seddiqi &amp; Sons"/>
    <s v="Ahmed Seddiqi &amp; Sons"/>
    <s v="YaHala Exclusive"/>
    <x v="0"/>
    <s v="jewelry"/>
    <m/>
    <m/>
    <s v="15% Off"/>
    <s v="Active"/>
    <d v="2025-12-04T00:00:00"/>
    <d v="2026-12-30T00:00:00"/>
    <d v="2026-12-30T00:00:00"/>
    <s v="Auto renewal"/>
    <m/>
    <s v="Dubai"/>
  </r>
  <r>
    <n v="145"/>
    <s v="X23957715"/>
    <s v="Charriol - Ahmed Seddiqi &amp; Sons"/>
    <s v="Ahmed Seddiqi &amp; Sons"/>
    <s v="YaHala Exclusive"/>
    <x v="0"/>
    <s v="jewelry"/>
    <m/>
    <m/>
    <s v="17% Off"/>
    <s v="Inactive"/>
    <d v="2025-12-22T00:00:00"/>
    <d v="2026-12-30T00:00:00"/>
    <d v="2026-12-30T00:00:00"/>
    <s v="Auto renewal"/>
    <m/>
    <s v="Dubai"/>
  </r>
  <r>
    <n v="147"/>
    <s v="X23879761"/>
    <s v="Emirates"/>
    <m/>
    <s v="YaHala Exclusive"/>
    <x v="5"/>
    <s v="Travel"/>
    <s v="Emirates | Fly Better"/>
    <s v="Use promocode AEMCA21"/>
    <s v="Exclusive discount"/>
    <s v="Inactive"/>
    <d v="2026-02-09T00:00:00"/>
    <d v="2027-08-10T00:00:00"/>
    <d v="2026-12-30T00:00:00"/>
    <s v="Auto renewal"/>
    <m/>
    <s v="Dubai"/>
  </r>
  <r>
    <n v="148"/>
    <s v="X23960390"/>
    <s v="B180 Caps"/>
    <s v="B180 Caps"/>
    <s v="YaHala Exclusive"/>
    <x v="0"/>
    <s v="Fashion"/>
    <s v="www.b180caps.com"/>
    <s v="Use promocode YAHALA"/>
    <s v="25% Off"/>
    <s v="Active"/>
    <d v="2026-05-06T00:00:00"/>
    <d v="2026-12-30T00:00:00"/>
    <d v="2026-12-30T00:00:00"/>
    <s v="Auto renewal"/>
    <m/>
    <s v="Dubai"/>
  </r>
  <r>
    <n v="149"/>
    <s v="X23960388"/>
    <s v="B180 Caps"/>
    <s v="B 180 Caps"/>
    <s v="YaHala Exclusive"/>
    <x v="0"/>
    <s v="Fashion"/>
    <m/>
    <m/>
    <s v="25% Off"/>
    <s v="Active"/>
    <s v="May-6-2026"/>
    <d v="2026-12-30T00:00:00"/>
    <d v="2026-12-30T00:00:00"/>
    <s v="Auto renewal"/>
    <m/>
    <s v="Dubai"/>
  </r>
  <r>
    <n v="150"/>
    <s v="X23960733"/>
    <s v="MARIAM AL REMEITHI"/>
    <s v="Mariam Al Remeithi - Dubai"/>
    <s v="YaHala Exclusive"/>
    <x v="0"/>
    <s v="Fashion"/>
    <s v="https://bymariam.ae/"/>
    <s v="Use promocode PMO25"/>
    <s v="25% Off"/>
    <s v="Active"/>
    <d v="2026-05-20T00:00:00"/>
    <d v="2026-12-30T00:00:00"/>
    <d v="2026-12-30T00:00:00"/>
    <s v="Auto renewal"/>
    <m/>
    <s v="Dubai"/>
  </r>
  <r>
    <n v="151"/>
    <s v="X23960351"/>
    <s v="MARIAM AL REMEITHI"/>
    <s v="Mariam Al Remeithi -AD"/>
    <s v="YaHala Exclusive"/>
    <x v="0"/>
    <s v="Fashion"/>
    <m/>
    <m/>
    <s v="25% Off"/>
    <s v="Active"/>
    <d v="2026-05-14T00:00:00"/>
    <d v="2026-12-30T00:00:00"/>
    <d v="2026-12-30T00:00:00"/>
    <s v="Auto renewal"/>
    <s v="Abu Dhabi"/>
    <m/>
  </r>
  <r>
    <n v="152"/>
    <s v="X23960772"/>
    <s v="Galia Fashion Designer"/>
    <s v="Galia Fashion"/>
    <s v="YaHala Exclusive"/>
    <x v="0"/>
    <s v="Fashion"/>
    <m/>
    <m/>
    <s v="20% Off"/>
    <s v="Active"/>
    <d v="2026-05-22T00:00:00"/>
    <d v="2026-12-30T00:00:00"/>
    <d v="2026-12-30T00:00:00"/>
    <s v="Auto renewal"/>
    <m/>
    <s v="Dubai"/>
  </r>
  <r>
    <n v="153"/>
    <s v="X035568"/>
    <s v="Pulp Juice bar"/>
    <s v="Azadea"/>
    <s v="YaHala Exclusive"/>
    <x v="2"/>
    <s v="informal dining &amp; Takeaway"/>
    <m/>
    <m/>
    <s v="15% off total bill"/>
    <s v="Active"/>
    <d v="2025-12-05T00:00:00"/>
    <d v="2026-12-30T00:00:00"/>
    <d v="2026-12-30T00:00:00"/>
    <s v="Auto renewal"/>
    <m/>
    <s v="Dubai"/>
  </r>
  <r>
    <n v="154"/>
    <s v="X21206381"/>
    <s v="Paul-Dubai"/>
    <s v="Azadea"/>
    <s v="YaHala Exclusive"/>
    <x v="2"/>
    <s v="Casual dining"/>
    <m/>
    <m/>
    <s v="15% off total bill"/>
    <s v="Active"/>
    <d v="2025-12-05T00:00:00"/>
    <d v="2026-12-30T00:00:00"/>
    <d v="2026-12-30T00:00:00"/>
    <s v="Auto renewal"/>
    <m/>
    <s v="Dubai"/>
  </r>
  <r>
    <n v="155"/>
    <s v="X21962466"/>
    <s v="MAMA'ESH"/>
    <s v="Mam'esh"/>
    <s v="YaHala Exclusive"/>
    <x v="2"/>
    <s v="Casual dining"/>
    <m/>
    <m/>
    <s v="20% Off Total Bill"/>
    <s v="Active"/>
    <d v="2025-12-05T00:00:00"/>
    <d v="2026-12-30T00:00:00"/>
    <d v="2026-12-30T00:00:00"/>
    <s v="Auto renewal"/>
    <m/>
    <s v="Dubai"/>
  </r>
  <r>
    <n v="156"/>
    <s v="X23927449"/>
    <s v="McDonald's"/>
    <s v="Americana"/>
    <s v="YaHala Exclusive"/>
    <x v="2"/>
    <s v="informal dining &amp; Takeaway"/>
    <m/>
    <m/>
    <s v="10% off total bill"/>
    <s v="Inactive"/>
    <s v=""/>
    <d v="2025-10-31T00:00:00"/>
    <s v="Deactive"/>
    <s v="Deactive"/>
    <m/>
    <s v=""/>
  </r>
  <r>
    <n v="157"/>
    <s v="X21112803"/>
    <s v="Joe's Café"/>
    <s v="BinHendi Hospitality LLC  F&amp;B Outlets"/>
    <s v="YaHala Exclusive"/>
    <x v="2"/>
    <s v="Cafe"/>
    <m/>
    <m/>
    <s v="20% Off  Totall bill"/>
    <s v="Inactive"/>
    <s v=""/>
    <d v="2025-04-18T00:00:00"/>
    <s v="Deactive"/>
    <s v="Deactive"/>
    <m/>
    <s v=""/>
  </r>
  <r>
    <n v="158"/>
    <s v="X036140"/>
    <s v="Baskin Robins"/>
    <m/>
    <s v="YaHala Exclusive"/>
    <x v="2"/>
    <s v="informal dining &amp; Takeaway"/>
    <m/>
    <m/>
    <s v="10% off total bill"/>
    <s v="Inactive"/>
    <s v=""/>
    <d v="2021-11-25T00:00:00"/>
    <s v="inactive"/>
    <s v="Deactive"/>
    <m/>
    <s v=""/>
  </r>
  <r>
    <n v="159"/>
    <s v="X22382425"/>
    <s v="Il Borro"/>
    <s v="Il Borro Tuscan Bistro  F&amp;B Outlets"/>
    <s v="YaHala Exclusive"/>
    <x v="2"/>
    <s v="Casual dining"/>
    <m/>
    <m/>
    <s v="15% Off on total bill"/>
    <s v="Active"/>
    <d v="2025-12-05T00:00:00"/>
    <d v="2026-12-30T00:00:00"/>
    <d v="2026-12-30T00:00:00"/>
    <s v="Auto renewal"/>
    <m/>
    <s v="Dubai"/>
  </r>
  <r>
    <n v="160"/>
    <s v="X23880217"/>
    <s v="Anantara Hotel Palm Jumeriah F&amp;B outlets"/>
    <m/>
    <s v="YaHala Exclusive"/>
    <x v="2"/>
    <s v="Fine dining"/>
    <m/>
    <m/>
    <s v="20% Off on Total Bill"/>
    <s v="Inactive"/>
    <d v="2025-11-26T00:00:00"/>
    <d v="2026-12-30T00:00:00"/>
    <d v="2026-12-30T00:00:00"/>
    <s v="Auto renewal"/>
    <m/>
    <s v="Dubai"/>
  </r>
  <r>
    <n v="161"/>
    <s v="X21112801"/>
    <s v="Japengo - Dubai"/>
    <s v="BinHendi Hospitality LLC  F&amp;B Outlets"/>
    <s v="YaHala Exclusive"/>
    <x v="2"/>
    <s v="Casual dining"/>
    <m/>
    <m/>
    <s v="20% Off on Total Bill"/>
    <s v="Inactive"/>
    <s v=""/>
    <d v="2024-11-25T00:00:00"/>
    <s v="inactive"/>
    <s v="Deactive"/>
    <m/>
    <s v=""/>
  </r>
  <r>
    <n v="162"/>
    <s v="X21112806"/>
    <s v="Sammach"/>
    <s v="BinHendi Hospitality LLC  F&amp;B Outlets"/>
    <s v="YaHala Exclusive"/>
    <x v="2"/>
    <s v="Casual dining"/>
    <m/>
    <m/>
    <s v="20% Off on Total Bill"/>
    <s v="Inactive"/>
    <s v=""/>
    <d v="2024-11-25T00:00:00"/>
    <s v="inactive"/>
    <s v="Deactive"/>
    <m/>
    <s v=""/>
  </r>
  <r>
    <n v="163"/>
    <s v="X21112799"/>
    <s v="China Times"/>
    <s v="BinHendi Hospitality LLC  F&amp;B Outlets"/>
    <s v="YaHala Exclusive"/>
    <x v="2"/>
    <s v="Casual dining"/>
    <m/>
    <m/>
    <s v="20% Off on Total Bill"/>
    <s v="Inactive"/>
    <s v=""/>
    <d v="2024-11-25T00:00:00"/>
    <s v="inactive"/>
    <s v="Deactive"/>
    <m/>
    <s v=""/>
  </r>
  <r>
    <n v="164"/>
    <s v="X21112798"/>
    <s v="Café Havana"/>
    <s v="BinHendi Hospitality LLC  F&amp;B Outlets"/>
    <s v="YaHala Exclusive"/>
    <x v="2"/>
    <s v="Cafe"/>
    <m/>
    <m/>
    <s v="20% Off on Total Bill"/>
    <s v="Inactive"/>
    <s v=""/>
    <d v="2024-11-25T00:00:00"/>
    <s v="inactive"/>
    <s v="Deactive"/>
    <m/>
    <s v=""/>
  </r>
  <r>
    <n v="165"/>
    <s v="X22381113"/>
    <s v="Bagaterie Boulevard"/>
    <s v="BinHendi Hospitality LLC  F&amp;B Outlets"/>
    <s v="YaHala Exclusive"/>
    <x v="2"/>
    <s v="Casual dining"/>
    <m/>
    <m/>
    <s v="20% Off on Total Bill"/>
    <s v="Inactive"/>
    <s v=""/>
    <d v="2024-11-25T00:00:00"/>
    <s v="inactive"/>
    <s v="Deactive"/>
    <m/>
    <s v=""/>
  </r>
  <r>
    <n v="166"/>
    <s v="X23908705"/>
    <s v="Sal Restaurant &amp; Lounge"/>
    <s v="Jumeirah Burj Al Arab"/>
    <s v="YaHala Exclusive"/>
    <x v="2"/>
    <s v="Casual dining"/>
    <m/>
    <m/>
    <s v="20% Off on Total Bill"/>
    <s v="Inactive"/>
    <s v=""/>
    <d v="2026-05-19T00:00:00"/>
    <s v="inactive"/>
    <s v="Deactive"/>
    <m/>
    <s v=""/>
  </r>
  <r>
    <n v="167"/>
    <s v="X22021342"/>
    <s v="Bab Al Yam at Burj Al Arab"/>
    <s v="Jumeirah Burj Al Arab"/>
    <s v="YaHala Exclusive"/>
    <x v="2"/>
    <s v="Casual dining"/>
    <m/>
    <m/>
    <s v="20% Off on Total Bill"/>
    <s v="Inactive"/>
    <s v=""/>
    <d v="2026-05-19T00:00:00"/>
    <s v="inactive"/>
    <s v="Deactive"/>
    <m/>
    <s v=""/>
  </r>
  <r>
    <n v="168"/>
    <s v="X22283744"/>
    <s v="Sahn Eddar at Burj Al Arab"/>
    <s v="Jumeirah Burj Al Arab"/>
    <s v="YaHala Exclusive"/>
    <x v="2"/>
    <s v="Casual dining"/>
    <m/>
    <m/>
    <s v="20% Off on Total Bill"/>
    <s v="Inactive"/>
    <s v=""/>
    <d v="2026-05-19T00:00:00"/>
    <s v="inactive"/>
    <s v="Deactive"/>
    <m/>
    <s v=""/>
  </r>
  <r>
    <n v="169"/>
    <s v="X22334801"/>
    <s v="Al Iwan at Burj Al Arab"/>
    <s v="Jumeirah Burj Al Arab"/>
    <s v="YaHala Exclusive"/>
    <x v="2"/>
    <s v="Casual dining"/>
    <m/>
    <m/>
    <s v="20% Off on Total Bill"/>
    <s v="Inactive"/>
    <s v=""/>
    <d v="2026-05-19T00:00:00"/>
    <s v="inactive"/>
    <s v="Deactive"/>
    <m/>
    <s v=""/>
  </r>
  <r>
    <n v="170"/>
    <s v="X23892714"/>
    <s v="Scape Restaurant &amp; Lounge"/>
    <s v="Jumeirah Burj Al Arab"/>
    <s v="YaHala Exclusive"/>
    <x v="2"/>
    <s v="Casual dining"/>
    <m/>
    <m/>
    <s v="20% Off on Total Bill"/>
    <s v="Inactive"/>
    <s v=""/>
    <d v="2026-05-19T00:00:00"/>
    <s v="inactive"/>
    <s v="Deactive"/>
    <m/>
    <s v=""/>
  </r>
  <r>
    <n v="171"/>
    <s v="X23875211"/>
    <s v="The Palmery"/>
    <s v="Jumeirah AL Naseem"/>
    <s v="YaHala Exclusive"/>
    <x v="2"/>
    <s v="Casual dining"/>
    <m/>
    <m/>
    <s v="25% Off on Total Bill"/>
    <s v="Active"/>
    <d v="2025-12-05T00:00:00"/>
    <d v="2026-12-30T00:00:00"/>
    <d v="2026-12-30T00:00:00"/>
    <s v="Auto renewal"/>
    <m/>
    <s v="Dubai"/>
  </r>
  <r>
    <n v="172"/>
    <s v="X23895799"/>
    <s v="Rockfish"/>
    <s v="Jumeirah Al Naseem"/>
    <s v="YaHala Exclusive"/>
    <x v="2"/>
    <s v="Casual dining"/>
    <m/>
    <m/>
    <s v="25% Off on Total Bill"/>
    <s v="Active"/>
    <d v="2025-12-05T00:00:00"/>
    <d v="2026-12-30T00:00:00"/>
    <d v="2026-12-30T00:00:00"/>
    <s v="Auto renewal"/>
    <m/>
    <s v="Dubai"/>
  </r>
  <r>
    <n v="173"/>
    <s v="X23895801"/>
    <s v="Al Mandhar lounge"/>
    <s v="Jumeirah Al Naseem"/>
    <s v="YaHala Exclusive"/>
    <x v="2"/>
    <s v="Casual dining"/>
    <m/>
    <m/>
    <s v="25% Off on Total Bill"/>
    <s v="Active"/>
    <d v="2025-12-05T00:00:00"/>
    <d v="2026-12-30T00:00:00"/>
    <d v="2026-12-30T00:00:00"/>
    <s v="Auto renewal"/>
    <m/>
    <s v="Dubai"/>
  </r>
  <r>
    <n v="174"/>
    <s v="X23895800"/>
    <s v="Kayto"/>
    <s v="Jumeirah Al Naseem"/>
    <s v="YaHala Exclusive"/>
    <x v="2"/>
    <s v="Casual dining"/>
    <m/>
    <m/>
    <s v="25% Off on Total Bill"/>
    <s v="Active"/>
    <d v="2025-12-05T00:00:00"/>
    <d v="2026-12-30T00:00:00"/>
    <d v="2026-12-30T00:00:00"/>
    <s v="Auto renewal"/>
    <m/>
    <s v="Dubai"/>
  </r>
  <r>
    <n v="175"/>
    <s v="X104641"/>
    <s v="Dhow &amp; Anchor"/>
    <s v="Jumeirah Beach Hotel  F&amp;B Outlets"/>
    <s v="YaHala Exclusive"/>
    <x v="2"/>
    <s v="Fine dining"/>
    <m/>
    <m/>
    <s v="15% Off on Total Bill"/>
    <s v="Active"/>
    <d v="2025-12-07T00:00:00"/>
    <d v="2026-12-30T00:00:00"/>
    <d v="2026-12-30T00:00:00"/>
    <s v="Auto renewal"/>
    <m/>
    <s v="Dubai"/>
  </r>
  <r>
    <n v="176"/>
    <s v="X23916877"/>
    <s v="Fika"/>
    <s v="Jumeirah Beach Hotel  F&amp;B Outlets"/>
    <s v="YaHala Exclusive"/>
    <x v="2"/>
    <s v="Fine dining"/>
    <m/>
    <m/>
    <s v="15% Off on Total Bill"/>
    <s v="Active"/>
    <d v="2025-12-07T00:00:00"/>
    <d v="2026-12-30T00:00:00"/>
    <d v="2026-12-30T00:00:00"/>
    <s v="Auto renewal"/>
    <m/>
    <s v="Dubai"/>
  </r>
  <r>
    <n v="177"/>
    <s v="X23918532"/>
    <s v="Bastion"/>
    <s v="Jumeirah Beach Hotel  F&amp;B Outlets"/>
    <s v="YaHala Exclusive"/>
    <x v="2"/>
    <s v="Fine dining"/>
    <m/>
    <m/>
    <s v="25% Off on Total Bill"/>
    <s v="Inactive"/>
    <s v=""/>
    <d v="2025-12-30T00:00:00"/>
    <s v="inactive"/>
    <s v="Deactive"/>
    <m/>
    <s v=""/>
  </r>
  <r>
    <n v="178"/>
    <s v="X23916956"/>
    <s v="Floor 24"/>
    <s v="Jumeirah Beach Hotel  F&amp;B Outlets"/>
    <s v="YaHala Exclusive"/>
    <x v="2"/>
    <s v="Fine dining"/>
    <m/>
    <m/>
    <s v="15% Off on F &amp;B"/>
    <s v="Active"/>
    <d v="2025-12-07T00:00:00"/>
    <d v="2026-12-30T00:00:00"/>
    <d v="2026-12-30T00:00:00"/>
    <s v="Auto renewal"/>
    <m/>
    <s v="Dubai"/>
  </r>
  <r>
    <n v="179"/>
    <s v="X036542"/>
    <s v="Kitchen Connection"/>
    <s v="Jumeirah Beach Hotel  F&amp;B Outlets"/>
    <s v="YaHala Exclusive"/>
    <x v="2"/>
    <s v="Fine dining"/>
    <m/>
    <m/>
    <s v="25% Off on Total Bill"/>
    <s v="Active"/>
    <d v="2025-12-07T00:00:00"/>
    <d v="2026-12-30T00:00:00"/>
    <d v="2026-12-30T00:00:00"/>
    <s v="Auto renewal"/>
    <m/>
    <s v="Dubai"/>
  </r>
  <r>
    <n v="180"/>
    <s v="X21364637"/>
    <s v="Pearl Lounge-Dubai"/>
    <s v="Jumeirah Beach Hotel  F&amp;B Outlets"/>
    <s v="YaHala Exclusive"/>
    <x v="2"/>
    <s v="Fine dining"/>
    <m/>
    <m/>
    <s v="25% Off on Total Bill"/>
    <s v="Active"/>
    <d v="2025-12-07T00:00:00"/>
    <d v="2026-12-30T00:00:00"/>
    <d v="2026-12-30T00:00:00"/>
    <s v="Auto renewal"/>
    <m/>
    <s v="Dubai"/>
  </r>
  <r>
    <n v="181"/>
    <s v="X036546"/>
    <s v="Villa Beach"/>
    <s v="Jumeirah Beach Hotel  F&amp;B Outlets"/>
    <s v="YaHala Exclusive"/>
    <x v="2"/>
    <s v="Fine dining"/>
    <m/>
    <m/>
    <s v="25% Off on Total Bill"/>
    <s v="Inactive"/>
    <s v=""/>
    <d v="2024-11-25T00:00:00"/>
    <s v="inactive"/>
    <s v="Deactive"/>
    <m/>
    <s v=""/>
  </r>
  <r>
    <n v="182"/>
    <s v="X036538"/>
    <s v="Beachcombers"/>
    <s v="Jumeirah Beach Hotel  F&amp;B Outlets"/>
    <s v="YaHala Exclusive"/>
    <x v="2"/>
    <s v="Casual dining"/>
    <m/>
    <m/>
    <s v="25% Off f&amp;b"/>
    <s v="Inactive"/>
    <s v=""/>
    <d v="2024-11-25T00:00:00"/>
    <s v="inactive"/>
    <s v="Deactive"/>
    <m/>
    <s v=""/>
  </r>
  <r>
    <n v="183"/>
    <s v="X036540"/>
    <s v="La Parrilla"/>
    <s v="Jumeirah Beach Hotel  F&amp;B Outlets"/>
    <s v="YaHala Exclusive"/>
    <x v="2"/>
    <s v="Casual dining"/>
    <m/>
    <m/>
    <s v="15% Off on Total Bill"/>
    <s v="Active"/>
    <d v="2026-01-07T00:00:00"/>
    <d v="2026-12-30T00:00:00"/>
    <d v="2026-12-30T00:00:00"/>
    <s v="Auto renewal"/>
    <m/>
    <s v="Dubai"/>
  </r>
  <r>
    <n v="184"/>
    <s v="X23897169"/>
    <s v="The J-Club"/>
    <s v="Jumeirah Beach Hotel  F&amp;B Outlets"/>
    <s v="YaHala Exclusive"/>
    <x v="2"/>
    <s v="Health &amp; Fitness"/>
    <m/>
    <m/>
    <s v="30% Off on Fitness &amp;Lifestyle membership and 50% off on annual membership"/>
    <s v="Inactive"/>
    <s v="Dec-4-2025"/>
    <d v="2026-05-18T00:00:00"/>
    <m/>
    <s v="Deactive"/>
    <m/>
    <s v="Dubai"/>
  </r>
  <r>
    <n v="185"/>
    <s v="X036552"/>
    <s v="Cuba"/>
    <s v="Jumeirah Creekside Hotel"/>
    <s v="YaHala Exclusive"/>
    <x v="2"/>
    <s v="Casual dining"/>
    <m/>
    <m/>
    <s v="25% Off on Total Bill"/>
    <s v="Inactive"/>
    <d v="2022-12-29T00:00:00"/>
    <d v="2025-12-30T00:00:00"/>
    <s v="inactive"/>
    <s v="Deactive"/>
    <m/>
    <s v="Dubai"/>
  </r>
  <r>
    <n v="186"/>
    <s v="X036553"/>
    <s v="Nomad"/>
    <s v="Jumeirah Creekside Hotel"/>
    <s v="YaHala Exclusive"/>
    <x v="2"/>
    <s v="Casual dining"/>
    <m/>
    <m/>
    <s v="25% Off on Total Bill"/>
    <s v="Inactive"/>
    <s v=""/>
    <d v="2025-12-30T00:00:00"/>
    <s v="inactive"/>
    <s v="Deactive"/>
    <m/>
    <s v=""/>
  </r>
  <r>
    <n v="187"/>
    <s v="X036551"/>
    <s v="Crimson Gallery"/>
    <s v="Jumeirah Creekside Hotel"/>
    <s v="YaHala Exclusive"/>
    <x v="2"/>
    <s v="Casual dining"/>
    <m/>
    <m/>
    <s v="25% Off on Total Bill"/>
    <s v="Inactive"/>
    <s v=""/>
    <d v="2025-12-30T00:00:00"/>
    <s v="inactive"/>
    <s v="Deactive"/>
    <m/>
    <s v=""/>
  </r>
  <r>
    <n v="188"/>
    <s v="X23892716"/>
    <s v="Plumeria"/>
    <s v="Jumeirah Creekside Hotel"/>
    <s v="YaHala Exclusive"/>
    <x v="2"/>
    <s v="Casual dining"/>
    <m/>
    <m/>
    <s v="25% Off on Total Bill"/>
    <s v="Inactive"/>
    <s v=""/>
    <d v="2025-12-30T00:00:00"/>
    <s v="inactive"/>
    <s v="Deactive"/>
    <m/>
    <s v=""/>
  </r>
  <r>
    <n v="189"/>
    <s v="X23932475"/>
    <s v="The agency"/>
    <s v="Jumeirah Emirates Towers"/>
    <s v="YaHala Exclusive"/>
    <x v="2"/>
    <s v="Fine dining"/>
    <m/>
    <m/>
    <s v="25% Off on Total Bill"/>
    <s v="Active"/>
    <s v=""/>
    <d v="2026-12-30T00:00:00"/>
    <d v="2026-12-30T00:00:00"/>
    <s v="Auto renewal"/>
    <m/>
    <s v="Dubai"/>
  </r>
  <r>
    <n v="190"/>
    <s v="X23891704"/>
    <s v="Flow Dic"/>
    <s v="Jumeirah Emirates Towers"/>
    <s v="YaHala Exclusive"/>
    <x v="2"/>
    <s v="Fine dining"/>
    <m/>
    <m/>
    <s v="25% Off on Total Bill"/>
    <s v="Inactive"/>
    <s v=""/>
    <d v="2025-12-30T00:00:00"/>
    <s v="inactive"/>
    <s v="Deactive"/>
    <m/>
    <s v=""/>
  </r>
  <r>
    <n v="191"/>
    <s v="X21972107"/>
    <s v="Mundo"/>
    <s v="Jumeirah Emirates Towers"/>
    <s v="YaHala Exclusive"/>
    <x v="2"/>
    <s v="Casual dining"/>
    <m/>
    <m/>
    <s v="25% Off on Total Bill"/>
    <s v="Active"/>
    <d v="2025-12-05T00:00:00"/>
    <d v="2026-12-30T00:00:00"/>
    <d v="2026-12-30T00:00:00"/>
    <s v="Auto renewal"/>
    <m/>
    <s v="Dubai"/>
  </r>
  <r>
    <n v="192"/>
    <s v="X036558"/>
    <s v="The Rib Room Bar"/>
    <s v="Jumeirah Emirates Towers"/>
    <s v="YaHala Exclusive"/>
    <x v="2"/>
    <s v="Fine dining"/>
    <m/>
    <m/>
    <s v="25% Off on Total Bill"/>
    <s v="Inactive"/>
    <s v=""/>
    <d v="2024-11-25T00:00:00"/>
    <s v="inactive"/>
    <s v="Deactive"/>
    <m/>
    <s v=""/>
  </r>
  <r>
    <n v="193"/>
    <s v="X23892718"/>
    <s v="Daefi Lobby Lounge"/>
    <s v="Jumeirah Emirates Towers"/>
    <s v="YaHala Exclusive"/>
    <x v="2"/>
    <s v="Pubs, Bar &amp; Clubs"/>
    <m/>
    <m/>
    <s v="25% Off on Total Bill"/>
    <s v="Active"/>
    <d v="2025-12-07T00:00:00"/>
    <d v="2026-12-30T00:00:00"/>
    <d v="2026-12-30T00:00:00"/>
    <s v="Auto renewal"/>
    <m/>
    <s v="Dubai"/>
  </r>
  <r>
    <n v="194"/>
    <s v="X21336758"/>
    <s v="Alta Badia Bar"/>
    <s v="Jumeirah Emirates Towers"/>
    <s v="YaHala Exclusive"/>
    <x v="2"/>
    <s v="Fine dining"/>
    <m/>
    <m/>
    <s v="25% Off on Total Bill"/>
    <s v="Inactive"/>
    <s v=""/>
    <d v="2024-11-25T00:00:00"/>
    <s v="inactive"/>
    <s v="Deactive"/>
    <m/>
    <s v=""/>
  </r>
  <r>
    <n v="195"/>
    <s v="X23880301"/>
    <s v="Jumeirah Hospitality"/>
    <s v="Jumeirah Hospitality - Events &amp; Weddings"/>
    <s v="YaHala Exclusive"/>
    <x v="3"/>
    <s v="Lifestyle"/>
    <m/>
    <m/>
    <s v="20% off event &amp; wedding catering"/>
    <s v="Inactive"/>
    <s v=""/>
    <d v="2024-12-05T00:00:00"/>
    <s v="inactive"/>
    <s v="Deactive"/>
    <m/>
    <s v=""/>
  </r>
  <r>
    <n v="196"/>
    <s v="X23880287"/>
    <s v="Khan Murjan"/>
    <s v="Khan Murjan"/>
    <s v="YaHala Exclusive"/>
    <x v="2"/>
    <s v="Casual dining"/>
    <m/>
    <m/>
    <s v="20% off for dine in and 10% off for take away"/>
    <s v="Inactive"/>
    <d v="2025-12-05T00:00:00"/>
    <d v="2025-11-20T00:00:00"/>
    <d v="2026-12-30T00:00:00"/>
    <s v="Deactive"/>
    <m/>
    <s v="Dubai"/>
  </r>
  <r>
    <n v="197"/>
    <s v="X23880391"/>
    <s v="Coya"/>
    <s v="Coya Restaurant"/>
    <s v="YaHala Exclusive"/>
    <x v="2"/>
    <s v="Casual dining"/>
    <m/>
    <m/>
    <s v="20% Off Sund-Fr"/>
    <s v="Active"/>
    <d v="2025-12-05T00:00:00"/>
    <d v="2026-12-30T00:00:00"/>
    <d v="2026-12-30T00:00:00"/>
    <s v="Auto renewal"/>
    <m/>
    <s v="Dubai"/>
  </r>
  <r>
    <n v="198"/>
    <s v="X21358657"/>
    <s v="Awani"/>
    <s v="AWJ Investements LLC"/>
    <s v="YaHala Exclusive"/>
    <x v="2"/>
    <s v="Casual dining"/>
    <m/>
    <m/>
    <s v="20% Off on Total Bill"/>
    <s v="Active"/>
    <d v="2025-12-05T00:00:00"/>
    <d v="2026-12-30T00:00:00"/>
    <d v="2026-12-30T00:00:00"/>
    <s v="Auto renewal"/>
    <m/>
    <s v="Dubai"/>
  </r>
  <r>
    <n v="199"/>
    <s v="X035924"/>
    <s v="QD's"/>
    <s v="Dubai Creek Golf &amp; Yacht Club"/>
    <s v="YaHala Exclusive"/>
    <x v="2"/>
    <s v="Casual dining"/>
    <m/>
    <m/>
    <s v="20% Off on Total Bill"/>
    <s v="Active"/>
    <d v="2025-12-05T00:00:00"/>
    <d v="2026-12-30T00:00:00"/>
    <d v="2026-12-30T00:00:00"/>
    <s v="Auto renewal"/>
    <m/>
    <s v="Dubai"/>
  </r>
  <r>
    <n v="200"/>
    <s v="X23888595"/>
    <s v="Alici"/>
    <s v="Alici"/>
    <s v="YaHala Exclusive"/>
    <x v="2"/>
    <s v="Fine dining"/>
    <m/>
    <m/>
    <s v="15% Off on total bill"/>
    <s v="Active"/>
    <d v="2025-12-05T00:00:00"/>
    <d v="2026-12-30T00:00:00"/>
    <d v="2026-12-30T00:00:00"/>
    <s v="Auto renewal"/>
    <m/>
    <s v="Dubai"/>
  </r>
  <r>
    <n v="201"/>
    <s v="X23908468"/>
    <s v="Al Meshwar Restaurant"/>
    <s v="Al Meshwar Group"/>
    <s v="YaHala Exclusive"/>
    <x v="2"/>
    <s v="Casual dining"/>
    <m/>
    <m/>
    <s v="20% Off on Total Bill"/>
    <s v="Inactive"/>
    <s v=""/>
    <d v="2024-11-25T00:00:00"/>
    <s v="inactive"/>
    <s v="Deactive"/>
    <m/>
    <s v=""/>
  </r>
  <r>
    <n v="202"/>
    <s v="X035919"/>
    <s v="Boardwalk"/>
    <s v="Dubai Creek Golf &amp; Yacht Club"/>
    <s v="YaHala Exclusive"/>
    <x v="2"/>
    <s v="Casual dining"/>
    <m/>
    <m/>
    <s v="20% Off on Total Bill"/>
    <s v="Active"/>
    <d v="2025-12-05T00:00:00"/>
    <d v="2026-12-30T00:00:00"/>
    <d v="2026-12-30T00:00:00"/>
    <s v="Auto renewal"/>
    <m/>
    <s v="Dubai"/>
  </r>
  <r>
    <n v="203"/>
    <s v="X035922"/>
    <s v="LakeView"/>
    <s v="Dubai Creek Golf &amp; Yacht Club"/>
    <s v="YaHala Exclusive"/>
    <x v="2"/>
    <s v="Casual dining"/>
    <m/>
    <m/>
    <s v="20% Off on Total Bill"/>
    <s v="Active"/>
    <d v="2025-12-05T00:00:00"/>
    <d v="2026-12-30T00:00:00"/>
    <d v="2026-12-30T00:00:00"/>
    <s v="Auto renewal"/>
    <m/>
    <s v="Dubai"/>
  </r>
  <r>
    <n v="204"/>
    <s v="X21094190"/>
    <s v="Casa De Tapas"/>
    <s v="Dubai Creek Golf &amp; Yacht Club"/>
    <s v="YaHala Exclusive"/>
    <x v="2"/>
    <s v="Casual dining"/>
    <m/>
    <m/>
    <s v="20% Off on Total Bill"/>
    <s v="Active"/>
    <d v="2025-12-05T00:00:00"/>
    <d v="2026-12-30T00:00:00"/>
    <d v="2026-12-30T00:00:00"/>
    <s v="Auto renewal"/>
    <m/>
    <s v="Dubai"/>
  </r>
  <r>
    <n v="205"/>
    <s v="X21331730"/>
    <s v="Cielo"/>
    <s v="Dubai Creek Golf &amp; Yacht Club"/>
    <s v="YaHala Exclusive"/>
    <x v="2"/>
    <s v="Casual dining"/>
    <m/>
    <m/>
    <s v="20% Off on Total Bill"/>
    <s v="Active"/>
    <d v="2025-12-05T00:00:00"/>
    <d v="2026-12-30T00:00:00"/>
    <d v="2026-12-30T00:00:00"/>
    <s v="Auto renewal"/>
    <m/>
    <s v="Dubai"/>
  </r>
  <r>
    <n v="207"/>
    <s v="X23932689"/>
    <s v="MayaBay"/>
    <s v="MayaBay"/>
    <s v="YaHala Exclusive"/>
    <x v="2"/>
    <s v="Fine dining"/>
    <m/>
    <m/>
    <s v="15% Off on total bill"/>
    <s v="Active"/>
    <d v="2025-11-26T00:00:00"/>
    <d v="2026-12-30T00:00:00"/>
    <d v="2026-12-30T00:00:00"/>
    <s v="Auto renewal"/>
    <m/>
    <s v="Dubai"/>
  </r>
  <r>
    <n v="208"/>
    <s v="X23932693"/>
    <s v="Josette"/>
    <s v="Josette"/>
    <s v="YaHala Exclusive"/>
    <x v="2"/>
    <s v="Casual dining"/>
    <m/>
    <m/>
    <s v="15% Off on total bill"/>
    <s v="Active"/>
    <d v="2025-12-05T00:00:00"/>
    <d v="2026-12-30T00:00:00"/>
    <d v="2026-12-30T00:00:00"/>
    <s v="Auto renewal"/>
    <m/>
    <s v="Dubai"/>
  </r>
  <r>
    <n v="209"/>
    <s v="X23945889"/>
    <s v="Garden Pool Bar"/>
    <s v="One&amp;Only One Za'abeel"/>
    <s v="YaHala Exclusive"/>
    <x v="2"/>
    <s v="Pubs, Bar &amp; Clubs"/>
    <m/>
    <m/>
    <s v="20% Off on Total Bill"/>
    <s v="Inactive"/>
    <d v="2024-12-18T00:00:00"/>
    <d v="2026-01-15T00:00:00"/>
    <s v="inactive"/>
    <s v="Deactive"/>
    <m/>
    <s v="Dubai"/>
  </r>
  <r>
    <n v="210"/>
    <s v="X23945888"/>
    <s v="StreetXO"/>
    <s v="One&amp;Only One Za'abeel"/>
    <s v="YaHala Exclusive"/>
    <x v="2"/>
    <s v="Premium Casual"/>
    <m/>
    <m/>
    <s v="20% Off on Total Bill"/>
    <s v="Active"/>
    <d v="2025-12-05T00:00:00"/>
    <d v="2026-12-30T00:00:00"/>
    <d v="2026-12-30T00:00:00"/>
    <s v="Auto renewal"/>
    <m/>
    <s v="Dubai"/>
  </r>
  <r>
    <n v="211"/>
    <s v="X23945887"/>
    <s v="Tapaske"/>
    <s v="One&amp;Only One Za'abeel"/>
    <s v="YaHala Exclusive"/>
    <x v="2"/>
    <s v="Fine dining"/>
    <m/>
    <m/>
    <s v="20% Off on Total Bill"/>
    <s v="Active"/>
    <d v="2025-12-04T00:00:00"/>
    <d v="2026-12-30T00:00:00"/>
    <d v="2026-12-30T00:00:00"/>
    <s v="Auto renewal"/>
    <m/>
    <s v="Dubai"/>
  </r>
  <r>
    <n v="212"/>
    <s v="X23945886"/>
    <s v="Andaliman"/>
    <s v="One&amp;Only One Za'abeel"/>
    <s v="YaHala Exclusive"/>
    <x v="2"/>
    <s v="Premium Casual"/>
    <m/>
    <m/>
    <s v="20% Off on Total Bill"/>
    <s v="Active"/>
    <d v="2025-12-05T00:00:00"/>
    <d v="2026-12-30T00:00:00"/>
    <d v="2026-12-30T00:00:00"/>
    <s v="Auto renewal"/>
    <m/>
    <s v="Dubai"/>
  </r>
  <r>
    <n v="213"/>
    <s v="X23945885"/>
    <s v="La Dame de Pic"/>
    <s v="One&amp;Only One Za'abeel"/>
    <s v="YaHala Exclusive"/>
    <x v="2"/>
    <s v="Fine dining"/>
    <m/>
    <m/>
    <s v="20% Off on Total Bill"/>
    <s v="Active"/>
    <d v="2025-12-03T00:00:00"/>
    <d v="2026-12-30T00:00:00"/>
    <d v="2026-12-30T00:00:00"/>
    <s v="Auto renewal"/>
    <m/>
    <s v="Dubai"/>
  </r>
  <r>
    <n v="214"/>
    <s v="X23945884"/>
    <s v="Sagetsu"/>
    <s v="One&amp;Only One Za'abeel"/>
    <s v="YaHala Exclusive"/>
    <x v="2"/>
    <s v="Fine dining"/>
    <m/>
    <m/>
    <s v="20% Off on Total Bill"/>
    <s v="Inactive"/>
    <s v=""/>
    <d v="2025-12-31T00:00:00"/>
    <s v="inactive"/>
    <s v="Deactive"/>
    <m/>
    <s v=""/>
  </r>
  <r>
    <n v="215"/>
    <s v="X23945842"/>
    <s v="Qabu"/>
    <s v="One&amp;Only One Za'abeel"/>
    <s v="YaHala Exclusive"/>
    <x v="2"/>
    <s v="Fine dining"/>
    <m/>
    <m/>
    <s v="20% Off on Total Bill"/>
    <s v="Inactive"/>
    <s v=""/>
    <d v="2025-12-31T00:00:00"/>
    <s v="inactive"/>
    <s v="Deactive"/>
    <m/>
    <s v=""/>
  </r>
  <r>
    <n v="216"/>
    <s v="X23945855"/>
    <s v="Duangdy"/>
    <s v="One&amp;Only One Za'abeel"/>
    <s v="YaHala Exclusive"/>
    <x v="2"/>
    <s v="Premium Casual"/>
    <m/>
    <m/>
    <s v="20% Off on Total Bill"/>
    <s v="Inactive"/>
    <s v=""/>
    <d v="2025-12-31T00:00:00"/>
    <s v="inactive"/>
    <s v="Deactive"/>
    <m/>
    <s v=""/>
  </r>
  <r>
    <n v="217"/>
    <s v="X23945852"/>
    <s v="Arrazuna"/>
    <s v="One&amp;Only One Za'abeel"/>
    <s v="YaHala Exclusive"/>
    <x v="2"/>
    <s v="Premium Casual"/>
    <m/>
    <m/>
    <s v="20% Off on Total Bill"/>
    <s v="Inactive"/>
    <s v=""/>
    <d v="2025-05-21T00:00:00"/>
    <s v="inactive"/>
    <s v="Deactive"/>
    <m/>
    <s v=""/>
  </r>
  <r>
    <n v="218"/>
    <s v="X23945843"/>
    <s v="Aelia"/>
    <s v="One&amp;Only One Za'abeel"/>
    <s v="YaHala Exclusive"/>
    <x v="2"/>
    <s v="Premium Casual"/>
    <m/>
    <m/>
    <s v="20% Off on Total Bill"/>
    <s v="Active"/>
    <d v="2025-12-05T00:00:00"/>
    <d v="2026-12-30T00:00:00"/>
    <d v="2026-12-30T00:00:00"/>
    <s v="Auto renewal"/>
    <m/>
    <s v="Dubai"/>
  </r>
  <r>
    <n v="219"/>
    <s v="X23947203"/>
    <s v="Jara Bar"/>
    <s v="The Lana – Dorchester Collection"/>
    <s v="YaHala Exclusive"/>
    <x v="2"/>
    <s v="Fine dining"/>
    <m/>
    <m/>
    <s v="20% Off on Total Bill"/>
    <s v="Active"/>
    <s v="Dec-5-2025"/>
    <d v="2025-12-31T00:00:00"/>
    <d v="2025-12-30T00:00:00"/>
    <s v="Auto renewal"/>
    <m/>
    <s v="Dubai"/>
  </r>
  <r>
    <n v="220"/>
    <s v="X23947199"/>
    <s v="The Gallery afternoon tea experience"/>
    <s v="The Lana – Dorchester Collection"/>
    <s v="YaHala Exclusive"/>
    <x v="2"/>
    <s v="Fine dining"/>
    <m/>
    <m/>
    <s v="20% Off on Total Bill"/>
    <s v="Active"/>
    <s v="Dec-5-2025"/>
    <d v="2025-12-31T00:00:00"/>
    <d v="2025-12-30T00:00:00"/>
    <s v="Auto renewal"/>
    <m/>
    <s v="Dubai"/>
  </r>
  <r>
    <n v="221"/>
    <s v="X23947198"/>
    <s v="Bonbon Café by Angelo Musa"/>
    <s v="The Lana – Dorchester Collection"/>
    <s v="YaHala Exclusive"/>
    <x v="2"/>
    <s v="Fine dining"/>
    <m/>
    <m/>
    <s v="20% Off on Total Bill"/>
    <s v="Active"/>
    <s v="Dec-5-2025"/>
    <d v="2025-12-31T00:00:00"/>
    <d v="2025-12-30T00:00:00"/>
    <s v="Auto renewal"/>
    <m/>
    <s v="Dubai"/>
  </r>
  <r>
    <n v="222"/>
    <s v="X23947197"/>
    <s v="Rivera Restaurant by Jean Imbert (Lunch and Dinner)"/>
    <s v="The Lana – Dorchester Collection"/>
    <s v="YaHala Exclusive"/>
    <x v="2"/>
    <s v="Fine dining"/>
    <m/>
    <m/>
    <s v="20% Off on Total Bill"/>
    <s v="Active"/>
    <s v="Dec-5-2025"/>
    <d v="2025-12-31T00:00:00"/>
    <d v="2025-12-30T00:00:00"/>
    <s v="Auto renewal"/>
    <m/>
    <s v="Dubai"/>
  </r>
  <r>
    <n v="223"/>
    <s v="X23947382"/>
    <s v="Mizu"/>
    <s v="Mizu"/>
    <s v="YaHala Exclusive"/>
    <x v="2"/>
    <s v="Fine dining"/>
    <m/>
    <m/>
    <s v="30% Off Total Bill"/>
    <s v="Active"/>
    <d v="2025-12-05T00:00:00"/>
    <d v="2026-12-30T00:00:00"/>
    <d v="2026-12-30T00:00:00"/>
    <s v="Auto renewal"/>
    <m/>
    <s v="Dubai"/>
  </r>
  <r>
    <n v="224"/>
    <s v="X23947623"/>
    <s v="Shivli"/>
    <s v="Shvili"/>
    <s v="YaHala Exclusive"/>
    <x v="2"/>
    <s v="Fine dining"/>
    <m/>
    <m/>
    <s v="20% Off on Total Bill"/>
    <s v="Active"/>
    <d v="2025-12-04T00:00:00"/>
    <d v="2026-12-30T00:00:00"/>
    <d v="2026-12-30T00:00:00"/>
    <s v="Auto renewal"/>
    <m/>
    <s v="Dubai"/>
  </r>
  <r>
    <n v="225"/>
    <s v="X23947620"/>
    <s v="Osteria Mario"/>
    <s v="Osteria Mario"/>
    <s v="YaHala Exclusive"/>
    <x v="2"/>
    <s v="Fine dining"/>
    <m/>
    <m/>
    <s v="20% Off on Total Bill"/>
    <s v="Active"/>
    <d v="2025-12-03T00:00:00"/>
    <d v="2026-12-30T00:00:00"/>
    <d v="2026-12-30T00:00:00"/>
    <s v="Auto renewal"/>
    <m/>
    <s v="Dubai"/>
  </r>
  <r>
    <n v="226"/>
    <s v="X23939882"/>
    <s v="Bebek Restaurant"/>
    <s v="Bebek Restaurant"/>
    <s v="YaHala Exclusive"/>
    <x v="2"/>
    <s v="Fine dining"/>
    <m/>
    <m/>
    <s v="20% Off on Total Bill"/>
    <s v="Active"/>
    <d v="2025-12-05T00:00:00"/>
    <d v="2026-12-30T00:00:00"/>
    <d v="2026-12-30T00:00:00"/>
    <s v="Auto renewal"/>
    <m/>
    <s v="Dubai"/>
  </r>
  <r>
    <n v="227"/>
    <s v="X21934745"/>
    <s v="Giardino"/>
    <s v="Plazzo Versace International"/>
    <s v="YaHala Exclusive"/>
    <x v="2"/>
    <s v="Premium Casual"/>
    <m/>
    <m/>
    <s v="20% Off on Total Bill"/>
    <s v="Active"/>
    <d v="2025-12-05T00:00:00"/>
    <d v="2026-12-30T00:00:00"/>
    <d v="2026-12-30T00:00:00"/>
    <s v="Auto renewal"/>
    <m/>
    <s v="Dubai"/>
  </r>
  <r>
    <n v="228"/>
    <s v="X23406654"/>
    <s v="Mosaico Lounge"/>
    <s v="Plazzo Versace International"/>
    <s v="YaHala Exclusive"/>
    <x v="2"/>
    <s v="Premium Casual"/>
    <m/>
    <m/>
    <s v="20% Off on Total Bill on Homat el watan card holder"/>
    <s v="Active"/>
    <d v="2025-11-28T00:00:00"/>
    <d v="2026-12-30T00:00:00"/>
    <d v="2026-12-30T00:00:00"/>
    <s v="Auto renewal"/>
    <m/>
    <s v="Dubai"/>
  </r>
  <r>
    <n v="229"/>
    <s v="X21934702"/>
    <s v="Vanitas"/>
    <s v="Plazzo Versace International"/>
    <s v="YaHala Exclusive"/>
    <x v="2"/>
    <s v="Fine dining"/>
    <m/>
    <m/>
    <s v="20% Off on Total Bill"/>
    <s v="Active"/>
    <d v="2025-11-28T00:00:00"/>
    <d v="2026-12-30T00:00:00"/>
    <d v="2026-12-30T00:00:00"/>
    <s v="Auto renewal"/>
    <m/>
    <s v="Dubai"/>
  </r>
  <r>
    <n v="230"/>
    <s v="X21972351"/>
    <s v="Enigma"/>
    <s v="Plazzo Versace International"/>
    <s v="YaHala Exclusive"/>
    <x v="2"/>
    <s v="Fine dining"/>
    <m/>
    <m/>
    <s v="20% Off on Total Bill"/>
    <s v="Active"/>
    <d v="2025-11-28T00:00:00"/>
    <d v="2026-12-30T00:00:00"/>
    <d v="2026-12-30T00:00:00"/>
    <s v="Auto renewal"/>
    <m/>
    <s v="Dubai"/>
  </r>
  <r>
    <n v="231"/>
    <s v="X23933393"/>
    <s v="KADAYIFZADE"/>
    <s v="KADAYIFZADE"/>
    <s v="YaHala Exclusive"/>
    <x v="2"/>
    <s v="Cafe"/>
    <m/>
    <m/>
    <s v="15% Off on total bill"/>
    <s v="Active"/>
    <d v="2025-12-05T00:00:00"/>
    <d v="2026-12-30T00:00:00"/>
    <d v="2026-12-30T00:00:00"/>
    <s v="Auto renewal"/>
    <m/>
    <s v="Dubai"/>
  </r>
  <r>
    <n v="232"/>
    <s v="X036786"/>
    <s v="Zheng He's"/>
    <s v="Jumeirah Mina A'Salam"/>
    <s v="YaHala Exclusive"/>
    <x v="2"/>
    <s v="Fine dining"/>
    <m/>
    <m/>
    <s v="25% Off on Total Bill"/>
    <s v="Inactive"/>
    <s v=""/>
    <d v="2023-02-23T00:00:00"/>
    <s v="inactive"/>
    <s v="Deactive"/>
    <m/>
    <s v=""/>
  </r>
  <r>
    <n v="233"/>
    <s v="X036768"/>
    <s v="Hanaaya"/>
    <s v="Jumeirah Mina A'Salam"/>
    <s v="YaHala Exclusive"/>
    <x v="2"/>
    <s v="Casual dining"/>
    <m/>
    <m/>
    <s v="25% Off on Total Bill"/>
    <s v="Active"/>
    <d v="2025-12-03T00:00:00"/>
    <d v="2026-12-30T00:00:00"/>
    <d v="2026-12-30T00:00:00"/>
    <s v="Auto renewal"/>
    <m/>
    <s v="Dubai"/>
  </r>
  <r>
    <n v="234"/>
    <s v="X21708300"/>
    <s v="Tortuga"/>
    <s v="Jumeirah Mina A'Salam"/>
    <s v="YaHala Exclusive"/>
    <x v="2"/>
    <s v="Fine dining"/>
    <m/>
    <m/>
    <s v="25% Off on Total Bill"/>
    <s v="Inactive"/>
    <s v=""/>
    <d v="2025-01-14T00:00:00"/>
    <s v="inactive"/>
    <s v="Deactive"/>
    <m/>
    <s v=""/>
  </r>
  <r>
    <n v="235"/>
    <s v="X036772"/>
    <s v="Bahri Bar"/>
    <s v="Jumeirah Mina A'Salam"/>
    <s v="YaHala Exclusive"/>
    <x v="2"/>
    <s v="Fine dining"/>
    <m/>
    <m/>
    <s v="25% Off on Total Bill"/>
    <s v="Active"/>
    <d v="2025-12-07T00:00:00"/>
    <d v="2026-12-30T00:00:00"/>
    <d v="2026-12-30T00:00:00"/>
    <s v="Auto renewal"/>
    <m/>
    <s v="Dubai"/>
  </r>
  <r>
    <n v="236"/>
    <s v="X23931868"/>
    <s v="Margaux"/>
    <s v="Jumeirah Mina A'Salam"/>
    <s v="YaHala Exclusive"/>
    <x v="2"/>
    <s v="Cafe"/>
    <m/>
    <m/>
    <s v="25% Off on Total Bill"/>
    <s v="Active"/>
    <d v="2025-11-26T00:00:00"/>
    <d v="2026-12-30T00:00:00"/>
    <d v="2026-12-30T00:00:00"/>
    <s v="Auto renewal"/>
    <m/>
    <s v="Dubai"/>
  </r>
  <r>
    <n v="237"/>
    <s v="X036769"/>
    <s v="Al Samar Lounge"/>
    <s v="Jumeirah Mina A'Salam"/>
    <s v="YaHala Exclusive"/>
    <x v="2"/>
    <s v="Fine dining"/>
    <m/>
    <m/>
    <s v="25% Off on Total Bill"/>
    <s v="Active"/>
    <d v="2025-12-07T00:00:00"/>
    <d v="2026-12-30T00:00:00"/>
    <d v="2026-12-30T00:00:00"/>
    <s v="Auto renewal"/>
    <m/>
    <s v="Dubai"/>
  </r>
  <r>
    <n v="238"/>
    <s v="X23895814"/>
    <s v="Pool Bar - Mina Al Salam Hotel"/>
    <s v="Jumeirah Mina A'Salam"/>
    <s v="YaHala Exclusive"/>
    <x v="2"/>
    <s v="Fine dining"/>
    <m/>
    <m/>
    <s v="25% Off on Total Bill"/>
    <s v="Inactive"/>
    <s v=""/>
    <d v="2025-12-30T00:00:00"/>
    <s v="inactive"/>
    <s v="Deactive"/>
    <m/>
    <s v=""/>
  </r>
  <r>
    <n v="239"/>
    <s v="X23916874"/>
    <s v="French Rivera"/>
    <s v="Jumeirah Al Qasr"/>
    <s v="YaHala Exclusive"/>
    <x v="2"/>
    <s v="Fine dining"/>
    <m/>
    <m/>
    <s v="25% Off on Total Bill"/>
    <s v="Inactive"/>
    <s v=""/>
    <d v="2022-12-30T00:00:00"/>
    <s v="inactive"/>
    <s v="Deactive"/>
    <m/>
    <s v=""/>
  </r>
  <r>
    <n v="240"/>
    <s v="X036766"/>
    <s v="Al Fayrooz Lounge"/>
    <s v="Jumeirah Al Qasr"/>
    <s v="YaHala Exclusive"/>
    <x v="2"/>
    <s v="Fine dining"/>
    <m/>
    <m/>
    <s v="25% Off on Total Bill"/>
    <s v="Active"/>
    <d v="2025-12-07T00:00:00"/>
    <d v="2026-12-30T00:00:00"/>
    <d v="2026-12-30T00:00:00"/>
    <s v="Auto renewal"/>
    <m/>
    <s v="Dubai"/>
  </r>
  <r>
    <n v="241"/>
    <s v="X036770"/>
    <s v="Arboretum"/>
    <s v="Jumeirah Al Qasr"/>
    <s v="YaHala Exclusive"/>
    <x v="2"/>
    <s v="Fine dining"/>
    <m/>
    <m/>
    <s v="25% Off on Total Bill"/>
    <s v="Active"/>
    <d v="2025-12-07T00:00:00"/>
    <d v="2026-12-30T00:00:00"/>
    <d v="2026-12-30T00:00:00"/>
    <s v="Auto renewal"/>
    <m/>
    <s v="Dubai"/>
  </r>
  <r>
    <n v="242"/>
    <s v="X036776"/>
    <s v="Khaymat al Bahar"/>
    <s v="Jumeirah Al Qasr"/>
    <s v="YaHala Exclusive"/>
    <x v="2"/>
    <s v="Fine dining"/>
    <m/>
    <m/>
    <s v="25% Off on Total Bill"/>
    <s v="Inactive"/>
    <s v=""/>
    <d v="2025-12-30T00:00:00"/>
    <s v="inactive"/>
    <s v="Deactive"/>
    <m/>
    <s v=""/>
  </r>
  <r>
    <n v="243"/>
    <s v="X036779"/>
    <s v="Pai Thai"/>
    <s v="Jumeirah Restaurant Group F&amp;B / Sarood"/>
    <s v="YaHala Exclusive"/>
    <x v="2"/>
    <s v="Fine dining"/>
    <m/>
    <m/>
    <s v="25% Off on Total Bill"/>
    <s v="Inactive"/>
    <s v=""/>
    <d v="2025-12-30T00:00:00"/>
    <s v="inactive"/>
    <s v="removed as per faisal"/>
    <m/>
    <s v=""/>
  </r>
  <r>
    <n v="244"/>
    <s v="X036784"/>
    <s v="Trattoria Toscana"/>
    <s v="Jumeirah Restaurant Group F&amp;B / Sarood"/>
    <s v="YaHala Exclusive"/>
    <x v="2"/>
    <s v="Fine dining"/>
    <m/>
    <m/>
    <s v="25% Off on Total Bill"/>
    <s v="Inactive"/>
    <s v=""/>
    <d v="2025-12-30T00:00:00"/>
    <s v="inactive"/>
    <s v="removed as per faisal"/>
    <m/>
    <s v=""/>
  </r>
  <r>
    <n v="245"/>
    <s v="X036564"/>
    <s v="The Noodle House"/>
    <s v="Jumeirah Restaurant Group F&amp;B / Sarood"/>
    <s v="YaHala Exclusive"/>
    <x v="2"/>
    <s v="Fine dining"/>
    <m/>
    <m/>
    <s v="25% Off on Total Bill"/>
    <s v="Inactive"/>
    <s v=""/>
    <d v="2025-12-30T00:00:00"/>
    <s v="inactive"/>
    <s v="removed as per faisal"/>
    <m/>
    <s v=""/>
  </r>
  <r>
    <n v="246"/>
    <s v="X23955726"/>
    <s v="Al Nafoorah"/>
    <s v="Jumeirah Al Qasr"/>
    <s v="YaHala Exclusive"/>
    <x v="2"/>
    <s v="Casual dining"/>
    <m/>
    <m/>
    <s v="25% Off on Total Bill"/>
    <s v="Active"/>
    <s v="Dec-22-2025"/>
    <d v="2026-12-30T00:00:00"/>
    <d v="2026-12-30T00:00:00"/>
    <s v="Auto renewal"/>
    <m/>
    <s v="Dubai"/>
  </r>
  <r>
    <n v="247"/>
    <s v="X23873836"/>
    <s v="The Duck Hook"/>
    <s v="Jumeirah Restaurant Group F&amp;B / Sarood"/>
    <s v="YaHala Exclusive"/>
    <x v="2"/>
    <s v="Casual dining"/>
    <m/>
    <m/>
    <s v="25% Off on Total Bill"/>
    <s v="Inactive"/>
    <s v=""/>
    <d v="2025-12-30T00:00:00"/>
    <s v="inactive"/>
    <s v="removed as per faisal"/>
    <m/>
    <s v=""/>
  </r>
  <r>
    <n v="248"/>
    <s v="X23873837"/>
    <s v="Hillhouse Brasserie"/>
    <s v="Jumeirah Restaurant Group F&amp;B / Sarood"/>
    <s v="YaHala Exclusive"/>
    <x v="2"/>
    <s v="Casual dining"/>
    <m/>
    <m/>
    <s v="25% Off on Total Bill"/>
    <s v="Inactive"/>
    <s v=""/>
    <d v="2025-12-30T00:00:00"/>
    <s v="inactive"/>
    <s v="removed as per faisal"/>
    <m/>
    <s v=""/>
  </r>
  <r>
    <n v="249"/>
    <s v="X23900231"/>
    <s v="Flow Jet"/>
    <s v="Jumeirah Restaurant Group F&amp;B / Sarood"/>
    <s v="YaHala Exclusive"/>
    <x v="2"/>
    <s v="Casual dining"/>
    <m/>
    <m/>
    <s v="25% Off on Total Bill"/>
    <s v="Inactive"/>
    <s v=""/>
    <d v="2025-12-30T00:00:00"/>
    <s v="inactive"/>
    <s v="removed as per faisal"/>
    <m/>
    <s v=""/>
  </r>
  <r>
    <n v="250"/>
    <s v="X23874091"/>
    <s v="Sikka Cafe"/>
    <s v="Jumeirah Restaurant Group F&amp;B / Sarood"/>
    <s v="YaHala Exclusive"/>
    <x v="2"/>
    <s v="Casual dining"/>
    <m/>
    <m/>
    <s v="20% Off on Total Bill"/>
    <s v="Inactive"/>
    <s v=""/>
    <d v="2025-12-30T00:00:00"/>
    <s v="inactive"/>
    <s v="removed as per faisal"/>
    <m/>
    <s v=""/>
  </r>
  <r>
    <n v="251"/>
    <s v="X21829162"/>
    <s v="Butcha Turkish steakhouse &amp; Grill"/>
    <s v="Jumeirah Restaurant Group F&amp;B / Sarood"/>
    <s v="YaHala Exclusive"/>
    <x v="2"/>
    <s v="Casual dining"/>
    <m/>
    <m/>
    <s v="20% Off on Total Bill"/>
    <s v="Inactive"/>
    <s v=""/>
    <d v="2025-12-30T00:00:00"/>
    <s v="inactive"/>
    <s v="removed as per faisal"/>
    <m/>
    <s v=""/>
  </r>
  <r>
    <n v="252"/>
    <s v="X21813913"/>
    <s v="Retro Feasts"/>
    <s v="Jumeirah Restaurant Group F&amp;B / Sarood"/>
    <s v="YaHala Exclusive"/>
    <x v="2"/>
    <s v="Casual dining"/>
    <m/>
    <m/>
    <s v="20% Off on Total Bill"/>
    <s v="Inactive"/>
    <s v=""/>
    <d v="2025-12-30T00:00:00"/>
    <s v="inactive"/>
    <s v="removed as per faisal"/>
    <m/>
    <s v=""/>
  </r>
  <r>
    <n v="253"/>
    <s v="`"/>
    <s v="Al Mashowa"/>
    <s v="Jumeirah Restaurant Group F&amp;B / Sarood"/>
    <s v="YaHala Exclusive"/>
    <x v="2"/>
    <s v="Casual dining"/>
    <m/>
    <m/>
    <s v="20% Off on Total Bill"/>
    <s v="Inactive"/>
    <s v=""/>
    <d v="2025-12-30T00:00:00"/>
    <s v="inactive"/>
    <s v="removed as per faisal"/>
    <m/>
    <s v=""/>
  </r>
  <r>
    <n v="254"/>
    <s v="X23927957"/>
    <s v="Boaz Turkish Restaurant"/>
    <s v="Jumeirah Restaurant Group F&amp;B / Sarood"/>
    <s v="YaHala Exclusive"/>
    <x v="2"/>
    <s v="Casual dining"/>
    <m/>
    <m/>
    <s v="20% Off on Total Bill"/>
    <s v="Inactive"/>
    <s v=""/>
    <d v="2025-12-30T00:00:00"/>
    <s v="inactive"/>
    <s v="removed as per faisal"/>
    <m/>
    <s v=""/>
  </r>
  <r>
    <n v="255"/>
    <s v="X22300762"/>
    <s v="Ayamna"/>
    <s v="Atlantis by the Palm"/>
    <s v="YaHala Exclusive"/>
    <x v="2"/>
    <s v="Fine dining"/>
    <m/>
    <m/>
    <s v="20% Off on Total Bill"/>
    <s v="Active"/>
    <d v="2025-12-04T00:00:00"/>
    <d v="2027-04-19T00:00:00"/>
    <d v="2026-12-30T00:00:00"/>
    <s v="Auto renewal"/>
    <m/>
    <s v="Dubai"/>
  </r>
  <r>
    <n v="256"/>
    <s v="X23453930"/>
    <s v="Ossiano"/>
    <s v="Atlantis by the Palm"/>
    <s v="YaHala Exclusive"/>
    <x v="2"/>
    <s v="Fine dining"/>
    <m/>
    <m/>
    <s v="20% Off on Total Bill"/>
    <s v="Active"/>
    <d v="2025-12-05T00:00:00"/>
    <d v="2027-04-19T00:00:00"/>
    <d v="2026-12-30T00:00:00"/>
    <s v="Auto renewal"/>
    <m/>
    <s v="Dubai"/>
  </r>
  <r>
    <n v="257"/>
    <s v="X23453929"/>
    <s v="Nobu"/>
    <s v="Atlantis by the Palm"/>
    <s v="YaHala Exclusive"/>
    <x v="2"/>
    <s v="Fine dining"/>
    <m/>
    <m/>
    <s v="20% Off on Total Bill"/>
    <s v="Active"/>
    <d v="2025-12-05T00:00:00"/>
    <d v="2027-04-19T00:00:00"/>
    <d v="2026-12-30T00:00:00"/>
    <s v="Auto renewal"/>
    <m/>
    <s v="Dubai"/>
  </r>
  <r>
    <n v="258"/>
    <s v="X22352096"/>
    <s v="Bread Street Kitchen &amp; Bar"/>
    <s v="Atlantis by the Palm"/>
    <s v="YaHala Exclusive"/>
    <x v="2"/>
    <s v="Fine dining"/>
    <m/>
    <m/>
    <s v="20% Off on Total Bill"/>
    <s v="Active"/>
    <d v="2025-12-03T00:00:00"/>
    <d v="2027-04-19T00:00:00"/>
    <d v="2026-12-30T00:00:00"/>
    <s v="Auto renewal"/>
    <m/>
    <s v="Dubai"/>
  </r>
  <r>
    <n v="259"/>
    <s v="X23934224"/>
    <s v="Street Pizza"/>
    <s v="Atlantis by the Palm"/>
    <s v="YaHala Exclusive"/>
    <x v="2"/>
    <s v="Fine dining"/>
    <m/>
    <m/>
    <s v="20% Off on Total Bill"/>
    <s v="Active"/>
    <d v="2025-12-05T00:00:00"/>
    <d v="2027-04-19T00:00:00"/>
    <d v="2026-12-30T00:00:00"/>
    <s v="Auto renewal"/>
    <m/>
    <s v="Dubai"/>
  </r>
  <r>
    <n v="260"/>
    <s v="X035555"/>
    <s v="Seafire Steakhouse"/>
    <s v="Atlantis by the Palm"/>
    <s v="YaHala Exclusive"/>
    <x v="2"/>
    <s v="Fine dining"/>
    <m/>
    <m/>
    <s v="20% Off on Total Bill"/>
    <s v="Active"/>
    <d v="2025-12-05T00:00:00"/>
    <d v="2027-04-19T00:00:00"/>
    <d v="2026-12-30T00:00:00"/>
    <s v="Auto renewal"/>
    <m/>
    <s v="Dubai"/>
  </r>
  <r>
    <n v="261"/>
    <s v="X23934225"/>
    <s v="Hakkasan"/>
    <s v="Atlantis by the Palm"/>
    <s v="YaHala Exclusive"/>
    <x v="2"/>
    <s v="Fine dining"/>
    <m/>
    <m/>
    <s v="20% Off on Total Bill"/>
    <s v="Active"/>
    <d v="2025-12-05T00:00:00"/>
    <d v="2027-04-19T00:00:00"/>
    <d v="2026-12-30T00:00:00"/>
    <s v="Auto renewal"/>
    <m/>
    <s v="Dubai"/>
  </r>
  <r>
    <n v="262"/>
    <s v="X23934226"/>
    <s v="En Fuego"/>
    <s v="Atlantis by the Palm"/>
    <s v="YaHala Exclusive"/>
    <x v="2"/>
    <s v="Fine dining"/>
    <m/>
    <m/>
    <s v="20% Off on Total Bill"/>
    <s v="Active"/>
    <d v="2025-12-04T00:00:00"/>
    <d v="2027-04-19T00:00:00"/>
    <d v="2026-12-30T00:00:00"/>
    <s v="Auto renewal"/>
    <m/>
    <s v="Dubai"/>
  </r>
  <r>
    <n v="263"/>
    <s v="X23934227"/>
    <s v="White Restaurant"/>
    <s v="Atlantis by the Palm"/>
    <s v="YaHala Exclusive"/>
    <x v="2"/>
    <s v="Fine dining"/>
    <m/>
    <m/>
    <s v="20% Off on Total Bill"/>
    <s v="Active"/>
    <d v="2025-12-05T00:00:00"/>
    <d v="2027-04-19T00:00:00"/>
    <d v="2026-12-30T00:00:00"/>
    <s v="Auto renewal"/>
    <m/>
    <s v="Dubai"/>
  </r>
  <r>
    <n v="264"/>
    <s v="X23934228"/>
    <s v="Wavehouse"/>
    <s v="Atlantis by the Palm"/>
    <s v="YaHala Exclusive"/>
    <x v="2"/>
    <s v="Fine dining"/>
    <m/>
    <m/>
    <s v="20% Off on Total Bill"/>
    <s v="Active"/>
    <d v="2025-12-03T00:00:00"/>
    <d v="2027-04-19T00:00:00"/>
    <d v="2026-12-30T00:00:00"/>
    <s v="Auto renewal"/>
    <m/>
    <s v="Dubai"/>
  </r>
  <r>
    <n v="265"/>
    <s v="X035554"/>
    <s v="Saffron"/>
    <s v="Atlantis by the Palm"/>
    <s v="YaHala Exclusive"/>
    <x v="2"/>
    <s v="Fine dining"/>
    <m/>
    <m/>
    <s v="20% Off on Total Bill"/>
    <s v="Active"/>
    <d v="2025-12-04T00:00:00"/>
    <d v="2027-04-19T00:00:00"/>
    <d v="2026-12-30T00:00:00"/>
    <s v="Auto renewal"/>
    <m/>
    <s v="Dubai"/>
  </r>
  <r>
    <n v="266"/>
    <s v="X23953652"/>
    <s v="Studio Frantzén"/>
    <s v="Atlantis by the Palm"/>
    <s v="YaHala Exclusive"/>
    <x v="2"/>
    <s v="Fine dining"/>
    <m/>
    <m/>
    <s v="20% Off on Total Bill"/>
    <s v="Active"/>
    <d v="2025-12-05T00:00:00"/>
    <d v="2027-04-19T00:00:00"/>
    <d v="2026-12-30T00:00:00"/>
    <s v="Auto renewal"/>
    <m/>
    <s v="Dubai"/>
  </r>
  <r>
    <n v="267"/>
    <s v="X035546"/>
    <s v="Kaleidoscope"/>
    <s v="Atlantis by the Palm"/>
    <s v="YaHala Exclusive"/>
    <x v="2"/>
    <s v="Fine dining"/>
    <m/>
    <m/>
    <s v="20% Off on Total Bill"/>
    <s v="Active"/>
    <d v="2025-12-05T00:00:00"/>
    <d v="2027-04-19T00:00:00"/>
    <d v="2026-12-30T00:00:00"/>
    <s v="Auto renewal"/>
    <m/>
    <s v="Dubai"/>
  </r>
  <r>
    <n v="268"/>
    <s v="X23934231"/>
    <s v="Dinner by Heston"/>
    <s v="Atlantis by the Palm"/>
    <s v="YaHala Exclusive"/>
    <x v="2"/>
    <s v="Fine dining"/>
    <m/>
    <m/>
    <s v="20% Off on Total Bill"/>
    <s v="Active"/>
    <d v="2025-12-03T00:00:00"/>
    <d v="2027-04-19T00:00:00"/>
    <d v="2026-12-30T00:00:00"/>
    <s v="Auto renewal"/>
    <m/>
    <s v="Dubai"/>
  </r>
  <r>
    <n v="269"/>
    <s v="X23934232"/>
    <s v="La Mar"/>
    <s v="Atlantis by the Palm"/>
    <s v="YaHala Exclusive"/>
    <x v="2"/>
    <s v="Fine dining"/>
    <m/>
    <m/>
    <s v="20% Off on Total Bill"/>
    <s v="Active"/>
    <d v="2025-12-05T00:00:00"/>
    <d v="2027-04-19T00:00:00"/>
    <d v="2026-12-30T00:00:00"/>
    <s v="Auto renewal"/>
    <m/>
    <s v="Dubai"/>
  </r>
  <r>
    <n v="270"/>
    <s v="X23934233"/>
    <s v="The Royal Tea Room"/>
    <s v="Atlantis by the Palm"/>
    <s v="YaHala Exclusive"/>
    <x v="2"/>
    <s v="Fine dining"/>
    <m/>
    <m/>
    <s v="20% Off on Total Bill"/>
    <s v="Active"/>
    <d v="2025-12-04T00:00:00"/>
    <d v="2027-04-19T00:00:00"/>
    <d v="2026-12-30T00:00:00"/>
    <s v="Auto renewal"/>
    <m/>
    <s v="Dubai"/>
  </r>
  <r>
    <n v="271"/>
    <s v="X23934235"/>
    <s v="Malibu"/>
    <s v="Atlantis by the Palm"/>
    <s v="YaHala Exclusive"/>
    <x v="2"/>
    <s v="Fine dining"/>
    <m/>
    <m/>
    <s v="20% Off on Total Bill"/>
    <s v="Active"/>
    <d v="2025-12-05T00:00:00"/>
    <d v="2027-04-19T00:00:00"/>
    <d v="2026-12-30T00:00:00"/>
    <s v="Auto renewal"/>
    <m/>
    <s v="Dubai"/>
  </r>
  <r>
    <n v="272"/>
    <s v="X23934236"/>
    <s v="Gastronomy"/>
    <s v="Atlantis by the Palm"/>
    <s v="YaHala Exclusive"/>
    <x v="2"/>
    <s v="Fine dining"/>
    <m/>
    <m/>
    <s v="20% Off on Total Bill"/>
    <s v="Active"/>
    <d v="2025-12-03T00:00:00"/>
    <d v="2027-04-19T00:00:00"/>
    <d v="2026-12-30T00:00:00"/>
    <s v="Auto renewal"/>
    <m/>
    <s v="Dubai"/>
  </r>
  <r>
    <n v="273"/>
    <s v="X23953650"/>
    <s v="Milos"/>
    <s v="Atlantis by the Palm"/>
    <s v="YaHala Exclusive"/>
    <x v="2"/>
    <s v="Fine dining"/>
    <m/>
    <m/>
    <s v="20% Off on Total Bill"/>
    <s v="Active"/>
    <d v="2025-12-04T00:00:00"/>
    <d v="2027-04-19T00:00:00"/>
    <d v="2026-12-30T00:00:00"/>
    <s v="Auto renewal"/>
    <m/>
    <s v="Dubai"/>
  </r>
  <r>
    <n v="274"/>
    <s v="X23934238"/>
    <s v="Ling ling"/>
    <s v="Atlantis by the Palm"/>
    <s v="YaHala Exclusive"/>
    <x v="2"/>
    <s v="Fine dining"/>
    <m/>
    <m/>
    <s v="20% Off on Total Bill"/>
    <s v="Active"/>
    <d v="2025-12-03T00:00:00"/>
    <d v="2027-04-19T00:00:00"/>
    <d v="2026-12-30T00:00:00"/>
    <s v="Auto renewal"/>
    <m/>
    <s v="Dubai"/>
  </r>
  <r>
    <n v="275"/>
    <s v="X23934239"/>
    <s v="Nobu by the beach"/>
    <s v="Atlantis by the Palm"/>
    <s v="YaHala Exclusive"/>
    <x v="2"/>
    <s v="Fine dining"/>
    <m/>
    <m/>
    <s v="20% Off on Total Bill"/>
    <s v="Active"/>
    <d v="2025-12-05T00:00:00"/>
    <d v="2027-04-19T00:00:00"/>
    <d v="2026-12-30T00:00:00"/>
    <s v="Auto renewal"/>
    <m/>
    <s v="Dubai"/>
  </r>
  <r>
    <n v="276"/>
    <s v="X23953651"/>
    <s v="Ariana's Persian Kitchen"/>
    <s v="Atlantis by the Palm"/>
    <s v="YaHala Exclusive"/>
    <x v="2"/>
    <s v="Fine dining"/>
    <m/>
    <m/>
    <s v="20% Off on Total Bill"/>
    <s v="Active"/>
    <d v="2025-12-04T00:00:00"/>
    <d v="2027-04-19T00:00:00"/>
    <d v="2026-12-30T00:00:00"/>
    <s v="Auto renewal"/>
    <m/>
    <s v="Dubai"/>
  </r>
  <r>
    <n v="277"/>
    <s v="X23951157"/>
    <s v="La promenade"/>
    <s v="Jumeirah Al Qasr"/>
    <s v="YaHala Exclusive"/>
    <x v="2"/>
    <s v="Fine dining"/>
    <m/>
    <m/>
    <s v="25% Off on Total Bill"/>
    <s v="Active"/>
    <d v="2025-12-05T00:00:00"/>
    <d v="2026-12-30T00:00:00"/>
    <d v="2026-12-30T00:00:00"/>
    <s v="Auto renewal"/>
    <m/>
    <s v="Dubai"/>
  </r>
  <r>
    <n v="278"/>
    <s v="X23951159"/>
    <s v="Nuska Beach"/>
    <s v="Jumeirah Beach Hotel"/>
    <s v="YaHala Exclusive"/>
    <x v="2"/>
    <s v="Fine dining"/>
    <m/>
    <m/>
    <s v="25% Off on Total Bill"/>
    <s v="Inactive"/>
    <d v="2025-12-04T00:00:00"/>
    <d v="2025-12-30T00:00:00"/>
    <s v="inactive"/>
    <s v="Deactive"/>
    <m/>
    <s v="Dubai"/>
  </r>
  <r>
    <n v="279"/>
    <s v="X23954696"/>
    <s v="Umi Kei"/>
    <s v="Jumeirah Marsa Al Arab"/>
    <s v="YaHala Exclusive"/>
    <x v="2"/>
    <s v="Fine dining"/>
    <m/>
    <m/>
    <s v="10% Off on total Bill"/>
    <s v="Active"/>
    <d v="2025-12-03T00:00:00"/>
    <d v="2026-12-30T00:00:00"/>
    <d v="2026-12-30T00:00:00"/>
    <s v="Auto renewal"/>
    <m/>
    <s v="Dubai"/>
  </r>
  <r>
    <n v="280"/>
    <s v="X23954701"/>
    <s v="Mirabelle"/>
    <s v="Jumeirah Marsa Al Arab"/>
    <s v="YaHala Exclusive"/>
    <x v="2"/>
    <s v="Fine dining"/>
    <m/>
    <m/>
    <s v="10% Off on total Bill"/>
    <s v="Active"/>
    <d v="2025-12-05T00:00:00"/>
    <d v="2026-12-30T00:00:00"/>
    <d v="2026-12-30T00:00:00"/>
    <s v="Auto renewal"/>
    <m/>
    <s v="Dubai"/>
  </r>
  <r>
    <n v="281"/>
    <s v="X23954703"/>
    <s v="Madame LI"/>
    <s v="Jumeirah Marsa Al Arab"/>
    <s v="YaHala Exclusive"/>
    <x v="2"/>
    <s v="Fine dining"/>
    <m/>
    <m/>
    <s v="10% Off on total Bill"/>
    <s v="Active"/>
    <d v="2025-12-05T00:00:00"/>
    <d v="2026-12-30T00:00:00"/>
    <d v="2026-12-30T00:00:00"/>
    <s v="Auto renewal"/>
    <m/>
    <s v="Dubai"/>
  </r>
  <r>
    <n v="282"/>
    <s v="X23954702"/>
    <s v="Bombay Club"/>
    <s v="Jumeirah Marsa Al Arab"/>
    <s v="YaHala Exclusive"/>
    <x v="2"/>
    <s v="Fine dining"/>
    <m/>
    <m/>
    <s v="10% Off on total Bill"/>
    <s v="Active"/>
    <d v="2025-12-04T00:00:00"/>
    <d v="2026-12-30T00:00:00"/>
    <d v="2026-12-30T00:00:00"/>
    <s v="Auto renewal"/>
    <m/>
    <s v="Dubai"/>
  </r>
  <r>
    <n v="283"/>
    <s v="X23957081"/>
    <s v="Gohan Restaurant"/>
    <s v="CDF Restaurant LLC"/>
    <s v="YaHala Exclusive"/>
    <x v="2"/>
    <s v="Fine dining"/>
    <m/>
    <m/>
    <s v="20% Off on Total Bill"/>
    <s v="Inactive"/>
    <s v=""/>
    <d v="2026-05-12T00:00:00"/>
    <s v="inactive"/>
    <s v="Deactive"/>
    <m/>
    <s v=""/>
  </r>
  <r>
    <n v="284"/>
    <s v="X23957088"/>
    <s v="La Cantine du Faubourg"/>
    <s v="CDF Restaurant LLC"/>
    <s v="YaHala Exclusive"/>
    <x v="2"/>
    <s v="Fine dining"/>
    <m/>
    <m/>
    <s v="20% Off on Total Bill"/>
    <s v="Inactive"/>
    <s v=""/>
    <d v="2026-05-12T00:00:00"/>
    <s v="inactive"/>
    <s v="Deactive"/>
    <m/>
    <s v=""/>
  </r>
  <r>
    <n v="285"/>
    <s v="X23955290"/>
    <s v="Sah el Nom"/>
    <m/>
    <s v="YaHala Exclusive"/>
    <x v="2"/>
    <s v="Casual dining"/>
    <m/>
    <m/>
    <s v="20% Off on Total Bill"/>
    <s v="Active"/>
    <d v="2025-12-05T00:00:00"/>
    <d v="2026-12-30T00:00:00"/>
    <d v="2026-12-30T00:00:00"/>
    <s v="Auto renewal"/>
    <m/>
    <s v="Dubai"/>
  </r>
  <r>
    <n v="286"/>
    <s v="X23958011"/>
    <s v="The Hide - Jumeirah Al Qasr"/>
    <s v="Jumeirah Al Qasr"/>
    <s v="YaHala Exclusive"/>
    <x v="2"/>
    <s v="Fine dining"/>
    <m/>
    <m/>
    <s v="25% Off on Total Bill"/>
    <s v="Active"/>
    <d v="2026-01-07T00:00:00"/>
    <d v="2026-12-30T00:00:00"/>
    <d v="2026-12-30T00:00:00"/>
    <s v="Auto renewal"/>
    <m/>
    <s v="Dubai"/>
  </r>
  <r>
    <n v="287"/>
    <s v="X23958002"/>
    <s v="Commodore Club"/>
    <s v="Jumeirah Marsa Al Arab"/>
    <s v="YaHala Exclusive"/>
    <x v="2"/>
    <s v="Fine dining"/>
    <m/>
    <m/>
    <s v="10% Off on total Bill"/>
    <s v="Active"/>
    <d v="2026-01-07T00:00:00"/>
    <d v="2026-12-30T00:00:00"/>
    <d v="2026-12-30T00:00:00"/>
    <s v="Auto renewal"/>
    <m/>
    <s v="Dubai"/>
  </r>
  <r>
    <n v="288"/>
    <s v="X23958003"/>
    <s v="Skyview Lounge"/>
    <s v="Jumeirah Burj Al Arab"/>
    <s v="YaHala Exclusive"/>
    <x v="2"/>
    <s v="Fine dining"/>
    <m/>
    <m/>
    <s v="20% Off on Total Bill"/>
    <s v="Inactive"/>
    <s v=""/>
    <d v="2026-06-09T00:00:00"/>
    <s v="inactive"/>
    <s v="Deactive"/>
    <m/>
    <s v=""/>
  </r>
  <r>
    <n v="290"/>
    <s v="X23959675"/>
    <s v="Find Salt"/>
    <s v="independent management group"/>
    <s v="YaHala Exclusive"/>
    <x v="2"/>
    <s v="Casual dining"/>
    <m/>
    <m/>
    <s v="15% Off"/>
    <s v="Active"/>
    <d v="2026-04-08T00:00:00"/>
    <d v="2027-04-10T00:00:00"/>
    <d v="2026-12-30T00:00:00"/>
    <s v="Auto renewal"/>
    <s v="Abu Dhabi"/>
    <s v="Dubai"/>
  </r>
  <r>
    <n v="291"/>
    <s v="X23959684"/>
    <s v="Parkers"/>
    <s v="independent management group"/>
    <s v="YaHala Exclusive"/>
    <x v="2"/>
    <s v="Casual dining"/>
    <m/>
    <m/>
    <s v="15% Off"/>
    <s v="Active"/>
    <d v="2026-04-08T00:00:00"/>
    <d v="2027-04-10T00:00:00"/>
    <d v="2026-12-30T00:00:00"/>
    <s v="Auto renewal"/>
    <m/>
    <s v="Dubai"/>
  </r>
  <r>
    <n v="292"/>
    <s v="X23959690"/>
    <s v="Somewhere"/>
    <s v="independent management group"/>
    <s v="YaHala Exclusive"/>
    <x v="2"/>
    <s v="Casual dining"/>
    <m/>
    <m/>
    <s v="15% Off"/>
    <s v="Active"/>
    <d v="2026-04-08T00:00:00"/>
    <d v="2027-04-10T00:00:00"/>
    <d v="2026-12-30T00:00:00"/>
    <s v="Auto renewal"/>
    <s v="Abu Dhabi"/>
    <s v="Dubai"/>
  </r>
  <r>
    <n v="293"/>
    <s v="X23959696"/>
    <s v="Public"/>
    <s v="independent management group"/>
    <s v="YaHala Exclusive"/>
    <x v="2"/>
    <s v="Casual dining"/>
    <m/>
    <m/>
    <s v="15% Off"/>
    <s v="Active"/>
    <d v="2026-04-08T00:00:00"/>
    <d v="2027-04-10T00:00:00"/>
    <d v="2026-12-30T00:00:00"/>
    <s v="Auto renewal"/>
    <s v="Abu Dhabi"/>
    <s v="Dubai"/>
  </r>
  <r>
    <n v="294"/>
    <s v="X23959702"/>
    <s v="shalwa"/>
    <s v="independent management group"/>
    <s v="YaHala Exclusive"/>
    <x v="2"/>
    <s v="Casual dining"/>
    <m/>
    <m/>
    <s v="15% Off"/>
    <s v="Active"/>
    <d v="2026-04-08T00:00:00"/>
    <d v="2027-04-10T00:00:00"/>
    <d v="2026-12-30T00:00:00"/>
    <s v="Auto renewal"/>
    <s v="Abu Dhabi"/>
    <s v="Dubai"/>
  </r>
  <r>
    <n v="295"/>
    <s v="X23959706"/>
    <s v="Kumo"/>
    <s v="independent management group"/>
    <s v="YaHala Exclusive"/>
    <x v="2"/>
    <s v="Casual dining"/>
    <m/>
    <m/>
    <s v="15% Off"/>
    <s v="Active"/>
    <d v="2026-04-08T00:00:00"/>
    <d v="2027-04-10T00:00:00"/>
    <d v="2026-12-30T00:00:00"/>
    <s v="Auto renewal"/>
    <s v="Abu Dhabi"/>
    <s v="Dubai"/>
  </r>
  <r>
    <n v="296"/>
    <s v="X23960218"/>
    <s v="Babbler's Cafe"/>
    <s v="independent management group"/>
    <s v="YaHala Exclusive"/>
    <x v="2"/>
    <s v="Cafe"/>
    <m/>
    <m/>
    <s v="15% Off"/>
    <s v="Active"/>
    <d v="2026-04-29T00:00:00"/>
    <d v="2027-04-10T00:00:00"/>
    <d v="2026-12-30T00:00:00"/>
    <s v="Auto renewal"/>
    <s v="Abu Dhabi"/>
    <s v="Dubai"/>
  </r>
  <r>
    <n v="297"/>
    <s v="X23960345"/>
    <s v="Noiro Cafe"/>
    <s v="alkhawanji"/>
    <s v="YaHala Exclusive"/>
    <x v="2"/>
    <s v="Cafe"/>
    <m/>
    <m/>
    <s v="15% Off"/>
    <s v="Active"/>
    <d v="2026-05-05T00:00:00"/>
    <d v="2026-12-30T00:00:00"/>
    <d v="2026-12-30T00:00:00"/>
    <s v="Auto renewal"/>
    <m/>
    <s v="Dubai"/>
  </r>
  <r>
    <n v="298"/>
    <s v="X23960272"/>
    <s v="FBMI"/>
    <s v="Fatima bent Mohamed ben Zayed inititave"/>
    <s v="YaHala Exclusive"/>
    <x v="2"/>
    <s v="Cafe"/>
    <m/>
    <m/>
    <s v="15% Off"/>
    <s v="Active"/>
    <d v="2026-04-29T00:00:00"/>
    <d v="2026-12-30T00:00:00"/>
    <d v="2026-12-30T00:00:00"/>
    <s v="Auto renewal"/>
    <m/>
    <s v="Dubai"/>
  </r>
  <r>
    <n v="299"/>
    <s v="X23880435"/>
    <s v="1847 Salons"/>
    <s v="1847 Salons"/>
    <s v="YaHala Exclusive"/>
    <x v="4"/>
    <s v="Men's grooming"/>
    <m/>
    <m/>
    <s v="15% Off"/>
    <s v="Active"/>
    <d v="2025-12-05T00:00:00"/>
    <d v="2026-12-30T00:00:00"/>
    <d v="2026-12-30T00:00:00"/>
    <s v="Auto renewal"/>
    <m/>
    <s v="Dubai"/>
  </r>
  <r>
    <n v="300"/>
    <s v="X23909903"/>
    <s v="Adam Vital Hospital"/>
    <s v="Adam Vital Hospital"/>
    <s v="YaHala Exclusive"/>
    <x v="4"/>
    <s v="Medical"/>
    <m/>
    <m/>
    <s v="30% Off"/>
    <s v="Inactive"/>
    <s v=""/>
    <d v="2026-12-30T00:00:00"/>
    <d v="2026-12-30T00:00:00"/>
    <s v="Auto renewal"/>
    <m/>
    <s v=""/>
  </r>
  <r>
    <n v="301"/>
    <s v="X23928681"/>
    <s v="Aestazone Clinic"/>
    <s v="Aestazone Clinic"/>
    <s v="YaHala Exclusive"/>
    <x v="4"/>
    <s v="Medical"/>
    <m/>
    <m/>
    <s v="20% off body rejuvenation"/>
    <s v="Inactive"/>
    <s v=""/>
    <d v="2024-11-30T00:00:00"/>
    <s v="inactive"/>
    <s v="Expired as per Faisal"/>
    <m/>
    <s v=""/>
  </r>
  <r>
    <n v="302"/>
    <s v="X035475"/>
    <s v="American Academy of Cosmetic Surgery Hospital"/>
    <s v="American Academy of Cosmetic Surgery Hospital"/>
    <s v="YaHala Exclusive"/>
    <x v="4"/>
    <s v="Medical"/>
    <m/>
    <m/>
    <s v="40%_35%_50%_20%_25%"/>
    <s v="Active"/>
    <d v="2025-12-03T00:00:00"/>
    <d v="2026-12-30T00:00:00"/>
    <d v="2026-12-30T00:00:00"/>
    <m/>
    <m/>
    <s v="Dubai"/>
  </r>
  <r>
    <n v="303"/>
    <s v="X23902804"/>
    <s v="American Aesthetic Clinic, Dubai"/>
    <s v="American Aesthetic Clinic, Dubai"/>
    <s v="YaHala Exclusive"/>
    <x v="4"/>
    <s v="Medical"/>
    <m/>
    <m/>
    <s v="20% off body rejuvenation"/>
    <s v="Inactive"/>
    <s v=""/>
    <d v="2023-12-30T00:00:00"/>
    <s v="inactive"/>
    <s v="Expired as per Faisal"/>
    <m/>
    <s v=""/>
  </r>
  <r>
    <n v="304"/>
    <s v="X20989184"/>
    <s v="Anantara the Palm Spa"/>
    <m/>
    <s v="YaHala Exclusive"/>
    <x v="4"/>
    <s v="Spa"/>
    <m/>
    <m/>
    <s v="20% Off"/>
    <s v="Inactive"/>
    <s v=""/>
    <d v="2026-12-30T00:00:00"/>
    <d v="2026-12-30T00:00:00"/>
    <s v="No action required"/>
    <m/>
    <s v=""/>
  </r>
  <r>
    <n v="305"/>
    <s v="X23922323"/>
    <s v="Ayur Mandala Ayurveda Center"/>
    <m/>
    <s v="YaHala Exclusive"/>
    <x v="4"/>
    <s v="Spa"/>
    <m/>
    <m/>
    <s v="20% off services"/>
    <s v="Inactive"/>
    <s v=""/>
    <d v="2026-12-30T00:00:00"/>
    <d v="2026-12-30T00:00:00"/>
    <s v="No action required"/>
    <m/>
    <s v=""/>
  </r>
  <r>
    <n v="306"/>
    <s v="X23908481"/>
    <s v="Ciel Spa"/>
    <m/>
    <s v="YaHala Exclusive"/>
    <x v="4"/>
    <s v="Spa"/>
    <m/>
    <m/>
    <s v="25% Off spa"/>
    <s v="Inactive"/>
    <s v=""/>
    <d v="2026-12-30T00:00:00"/>
    <d v="2026-12-30T00:00:00"/>
    <s v="No action required"/>
    <m/>
    <s v=""/>
  </r>
  <r>
    <n v="307"/>
    <s v="X23929719"/>
    <s v="Cosmo Health"/>
    <m/>
    <s v="YaHala Exclusive"/>
    <x v="4"/>
    <s v="Spa"/>
    <m/>
    <m/>
    <s v="25% off services &amp; products"/>
    <s v="Inactive"/>
    <s v=""/>
    <d v="2022-12-20T00:00:00"/>
    <s v="inactive"/>
    <m/>
    <m/>
    <s v=""/>
  </r>
  <r>
    <n v="308"/>
    <s v="X23880980"/>
    <s v="Coya Spa"/>
    <m/>
    <s v="YaHala Exclusive"/>
    <x v="4"/>
    <s v="Spa"/>
    <m/>
    <m/>
    <s v="20% off hair &amp; spa bill"/>
    <s v="Active"/>
    <d v="2025-12-05T00:00:00"/>
    <d v="2026-12-30T00:00:00"/>
    <d v="2026-12-30T00:00:00"/>
    <s v="No action required"/>
    <m/>
    <s v="Dubai"/>
  </r>
  <r>
    <n v="309"/>
    <s v="X23912098"/>
    <s v="Divine Dubai yoga"/>
    <m/>
    <s v="YaHala Exclusive"/>
    <x v="4"/>
    <s v="Spa"/>
    <m/>
    <m/>
    <s v="20%_25% Off"/>
    <s v="Inactive"/>
    <s v=""/>
    <d v="2025-12-30T00:00:00"/>
    <s v="inactive"/>
    <s v="Deactive"/>
    <m/>
    <s v=""/>
  </r>
  <r>
    <n v="310"/>
    <s v="X23891892"/>
    <s v="Dollie Sisters Ladies Salon"/>
    <m/>
    <s v="YaHala Exclusive"/>
    <x v="4"/>
    <s v="Beauty , Hair &amp; Nails"/>
    <m/>
    <m/>
    <s v="20% Off"/>
    <s v="Active"/>
    <d v="2025-12-05T00:00:00"/>
    <d v="2026-12-30T00:00:00"/>
    <d v="2026-12-30T00:00:00"/>
    <s v="No action required"/>
    <m/>
    <s v="Dubai"/>
  </r>
  <r>
    <n v="311"/>
    <s v="X23880428"/>
    <s v="Dubai Ladies Club"/>
    <m/>
    <s v="YaHala Exclusive"/>
    <x v="4"/>
    <s v="Health &amp; Fitness"/>
    <m/>
    <m/>
    <s v="7000,3000,1500AED discount"/>
    <s v="Inactive"/>
    <d v="2025-03-04T00:00:00"/>
    <d v="2026-02-02T00:00:00"/>
    <s v="inactive"/>
    <m/>
    <m/>
    <s v="Dubai"/>
  </r>
  <r>
    <n v="312"/>
    <s v="X037804"/>
    <s v="Elata beauty salon dubai"/>
    <m/>
    <s v="YaHala Exclusive"/>
    <x v="4"/>
    <s v="Saloon"/>
    <m/>
    <m/>
    <s v="inactive"/>
    <s v="Inactive"/>
    <s v=""/>
    <d v="2023-09-28T00:00:00"/>
    <s v="inactive"/>
    <s v="Expired as per Faisal"/>
    <m/>
    <s v=""/>
  </r>
  <r>
    <n v="313"/>
    <s v="X23884453"/>
    <s v="Emirates Specialty Hospital"/>
    <m/>
    <s v="YaHala Exclusive"/>
    <x v="4"/>
    <s v="Medical"/>
    <m/>
    <m/>
    <s v="30% Off outpatient services"/>
    <s v="Active"/>
    <d v="2025-12-03T00:00:00"/>
    <d v="2026-12-30T00:00:00"/>
    <d v="2026-12-30T00:00:00"/>
    <s v="No action required"/>
    <m/>
    <s v="Dubai"/>
  </r>
  <r>
    <n v="314"/>
    <s v="X23880444"/>
    <s v="Fit in Time"/>
    <m/>
    <s v="YaHala Exclusive"/>
    <x v="4"/>
    <s v="Health &amp; Fitness"/>
    <m/>
    <m/>
    <s v="40% off Ems"/>
    <s v="Active"/>
    <d v="2025-12-02T00:00:00"/>
    <d v="2026-12-30T00:00:00"/>
    <d v="2026-12-30T00:00:00"/>
    <s v="No action required"/>
    <m/>
    <s v="Dubai"/>
  </r>
  <r>
    <n v="315"/>
    <s v="X23908484"/>
    <s v="GARGASH HOSPITAL"/>
    <m/>
    <s v="YaHala Exclusive"/>
    <x v="4"/>
    <s v="Medical"/>
    <m/>
    <m/>
    <s v="30% off medical_15% off ivf"/>
    <s v="Active"/>
    <d v="2025-12-02T00:00:00"/>
    <d v="2026-12-30T00:00:00"/>
    <d v="2026-12-30T00:00:00"/>
    <s v="No action required"/>
    <m/>
    <s v="Dubai"/>
  </r>
  <r>
    <n v="317"/>
    <s v="X036783"/>
    <s v="J CLUB talise spa"/>
    <m/>
    <s v="YaHala Exclusive"/>
    <x v="4"/>
    <s v="Spa"/>
    <m/>
    <m/>
    <s v="30% Off "/>
    <s v="Inactive"/>
    <d v="2025-12-03T00:00:00"/>
    <d v="2026-05-18T00:00:00"/>
    <s v="inactive"/>
    <s v="No action required"/>
    <m/>
    <s v="Dubai"/>
  </r>
  <r>
    <n v="318"/>
    <s v="X23880432"/>
    <s v="Jet set salon"/>
    <m/>
    <s v="YaHala Exclusive"/>
    <x v="4"/>
    <s v="Beauty , Hair &amp; Nails"/>
    <m/>
    <m/>
    <s v="15% Off"/>
    <s v="Active"/>
    <d v="2025-12-03T00:00:00"/>
    <d v="2026-12-30T00:00:00"/>
    <d v="2026-12-30T00:00:00"/>
    <s v="No action required"/>
    <m/>
    <s v="Dubai"/>
  </r>
  <r>
    <n v="319"/>
    <s v="X23880974"/>
    <s v="Juice spa salon"/>
    <m/>
    <s v="YaHala Exclusive"/>
    <x v="4"/>
    <s v="Beauty , Hair &amp; Nails"/>
    <m/>
    <m/>
    <s v="20% off all services"/>
    <s v="Inactive"/>
    <s v=""/>
    <d v="2024-11-25T00:00:00"/>
    <s v="inactive"/>
    <s v="Deactive"/>
    <m/>
    <s v=""/>
  </r>
  <r>
    <n v="320"/>
    <s v="X23880943"/>
    <s v="La Mar Aesthetic Surgery Centre"/>
    <m/>
    <s v="YaHala Exclusive"/>
    <x v="4"/>
    <s v="Clinic"/>
    <m/>
    <m/>
    <s v="40%_35%_10% Off"/>
    <s v="Inactive"/>
    <s v=""/>
    <d v="2026-12-30T00:00:00"/>
    <d v="2026-12-30T00:00:00"/>
    <s v="No action required"/>
    <m/>
    <s v=""/>
  </r>
  <r>
    <n v="321"/>
    <s v="X23880273"/>
    <s v="Life Pharmacy"/>
    <m/>
    <s v="YaHala Exclusive"/>
    <x v="4"/>
    <s v="Pharmacy"/>
    <m/>
    <m/>
    <s v="8% medical prescription_15% off prescription"/>
    <s v="Active"/>
    <d v="2025-12-05T00:00:00"/>
    <d v="2026-12-30T00:00:00"/>
    <d v="2026-12-30T00:00:00"/>
    <s v="No action required"/>
    <m/>
    <s v="Dubai"/>
  </r>
  <r>
    <n v="322"/>
    <s v="X23926289"/>
    <s v="My Conscious Mind Mental Health Center"/>
    <m/>
    <s v="YaHala Exclusive"/>
    <x v="4"/>
    <s v="Clinic"/>
    <m/>
    <m/>
    <s v="package offer 400AED personal therapy"/>
    <s v="Inactive"/>
    <s v=""/>
    <d v="2024-12-30T00:00:00"/>
    <s v="inactive"/>
    <s v="F sent email 13 jan"/>
    <m/>
    <s v=""/>
  </r>
  <r>
    <n v="323"/>
    <s v="X23880433"/>
    <s v="N.bar"/>
    <m/>
    <s v="YaHala Exclusive"/>
    <x v="4"/>
    <s v="Beauty , Hair &amp; Nails"/>
    <m/>
    <m/>
    <s v="15% Off"/>
    <s v="Active"/>
    <d v="2025-12-05T00:00:00"/>
    <d v="2026-12-30T00:00:00"/>
    <d v="2026-12-30T00:00:00"/>
    <s v="No action required"/>
    <m/>
    <s v="Dubai"/>
  </r>
  <r>
    <n v="324"/>
    <s v="X23915838"/>
    <s v="Nstyle Beauty Lounge - Abu Dhab"/>
    <m/>
    <s v="YaHala Exclusive"/>
    <x v="4"/>
    <s v="Beauty , Hair &amp; Nails"/>
    <m/>
    <m/>
    <s v="15% off treatments"/>
    <s v="Inactive"/>
    <s v=""/>
    <d v="2024-12-04T00:00:00"/>
    <s v="inactive"/>
    <s v="Auto renewal"/>
    <m/>
    <s v=""/>
  </r>
  <r>
    <n v="325"/>
    <s v="X23880427"/>
    <s v="Osraty"/>
    <m/>
    <s v="YaHala Exclusive"/>
    <x v="4"/>
    <s v="Medical"/>
    <m/>
    <m/>
    <s v="20% Off physiotherapy &amp; rehabilliation services"/>
    <s v="Active"/>
    <d v="2025-12-04T00:00:00"/>
    <d v="2026-12-30T00:00:00"/>
    <d v="2026-12-30T00:00:00"/>
    <s v="No action required"/>
    <m/>
    <s v="Dubai"/>
  </r>
  <r>
    <n v="326"/>
    <s v="X23909773"/>
    <s v="Sisters Beauty Lounge-Dubai"/>
    <m/>
    <s v="YaHala Exclusive"/>
    <x v="4"/>
    <s v="Beauty , Hair &amp; Nails"/>
    <m/>
    <m/>
    <s v="20% Off all services"/>
    <s v="Active"/>
    <d v="2025-12-05T00:00:00"/>
    <d v="2026-12-30T00:00:00"/>
    <d v="2026-12-30T00:00:00"/>
    <s v="No action required"/>
    <m/>
    <s v="Dubai"/>
  </r>
  <r>
    <n v="327"/>
    <s v="X21052026"/>
    <s v="Snob Salon &amp; Boutique"/>
    <m/>
    <s v="YaHala Exclusive"/>
    <x v="4"/>
    <s v="Beauty , Hair &amp; Nails"/>
    <m/>
    <m/>
    <s v="15% Off "/>
    <s v="Active"/>
    <d v="2025-12-02T00:00:00"/>
    <d v="2026-12-30T00:00:00"/>
    <d v="2026-12-30T00:00:00"/>
    <s v="No action required"/>
    <m/>
    <s v="Dubai"/>
  </r>
  <r>
    <n v="328"/>
    <s v="X037218"/>
    <s v="Spa zen"/>
    <m/>
    <s v="YaHala Exclusive"/>
    <x v="4"/>
    <s v="Spa"/>
    <m/>
    <m/>
    <s v="30% Off 60 min spa treatments"/>
    <s v="Active"/>
    <d v="2025-12-07T00:00:00"/>
    <d v="2026-12-30T00:00:00"/>
    <d v="2026-12-30T00:00:00"/>
    <s v="No action required"/>
    <m/>
    <s v="Dubai"/>
  </r>
  <r>
    <n v="329"/>
    <s v="X23926400"/>
    <s v="Storm"/>
    <m/>
    <s v="YaHala Exclusive"/>
    <x v="4"/>
    <s v="Health &amp; Fitness"/>
    <m/>
    <m/>
    <m/>
    <s v="Inactive"/>
    <s v=""/>
    <d v="2024-12-13T00:00:00"/>
    <s v="inactive"/>
    <s v="Auto renewal"/>
    <m/>
    <s v=""/>
  </r>
  <r>
    <n v="330"/>
    <s v="X23881318"/>
    <s v="Sultan Al Olama Medical Center"/>
    <m/>
    <s v="YaHala Exclusive"/>
    <x v="4"/>
    <s v="Medical"/>
    <m/>
    <m/>
    <s v="25% Off on selected services"/>
    <s v="Active"/>
    <d v="2025-12-03T00:00:00"/>
    <d v="2026-12-30T00:00:00"/>
    <d v="2026-12-30T00:00:00"/>
    <s v="No action required"/>
    <m/>
    <s v="Dubai"/>
  </r>
  <r>
    <n v="331"/>
    <s v="X23881383"/>
    <s v="Talise Fitness-"/>
    <m/>
    <s v="YaHala Exclusive"/>
    <x v="4"/>
    <s v="Health &amp; Fitness"/>
    <m/>
    <m/>
    <s v="30% Off"/>
    <s v="Inactive"/>
    <s v=""/>
    <d v="2025-08-14T00:00:00"/>
    <s v="inactive"/>
    <s v="Activated"/>
    <m/>
    <s v=""/>
  </r>
  <r>
    <n v="332"/>
    <s v="X224027"/>
    <s v="Talise ottoman spa"/>
    <m/>
    <s v="YaHala Exclusive"/>
    <x v="4"/>
    <s v="Spa"/>
    <m/>
    <m/>
    <s v="30% Off 60 min spa treatments"/>
    <s v="Inactive"/>
    <d v="2023-04-14T00:00:00"/>
    <d v="2026-03-20T00:00:00"/>
    <s v="inactive"/>
    <s v="No action required"/>
    <m/>
    <s v="Dubai"/>
  </r>
  <r>
    <n v="333"/>
    <s v="X23880994"/>
    <s v="The Elixir Clinic - Dubai"/>
    <m/>
    <s v="YaHala Exclusive"/>
    <x v="4"/>
    <s v="Clinic"/>
    <m/>
    <m/>
    <s v="30% off Services and products"/>
    <s v="Active"/>
    <d v="2025-12-03T00:00:00"/>
    <d v="2026-12-30T00:00:00"/>
    <d v="2026-12-30T00:00:00"/>
    <s v="No action required"/>
    <m/>
    <s v="Dubai"/>
  </r>
  <r>
    <n v="334"/>
    <s v="X23880442"/>
    <s v="The Spa - Palazzo Versace Dubai"/>
    <m/>
    <s v="YaHala Exclusive"/>
    <x v="4"/>
    <s v="Spa"/>
    <m/>
    <m/>
    <s v="20% off spa treatments"/>
    <s v="Active"/>
    <d v="2025-11-27T00:00:00"/>
    <d v="2026-12-30T00:00:00"/>
    <d v="2026-12-30T00:00:00"/>
    <s v="No action required"/>
    <m/>
    <s v="Dubai"/>
  </r>
  <r>
    <n v="335"/>
    <s v="X23908487"/>
    <s v="YBB COLLECTIVE"/>
    <m/>
    <s v="YaHala Exclusive"/>
    <x v="4"/>
    <s v="Beauty , Hair &amp; Nails"/>
    <m/>
    <m/>
    <s v="40% off all services"/>
    <s v="Active"/>
    <d v="2025-12-02T00:00:00"/>
    <d v="2026-12-30T00:00:00"/>
    <d v="2026-12-30T00:00:00"/>
    <s v="No action required"/>
    <m/>
    <s v="Dubai"/>
  </r>
  <r>
    <n v="336"/>
    <s v="X23880446"/>
    <s v="Zabeel Ladies Club"/>
    <m/>
    <s v="YaHala Exclusive"/>
    <x v="4"/>
    <s v="Spa"/>
    <m/>
    <m/>
    <s v="30%off _15% wellness"/>
    <s v="Active"/>
    <d v="2025-12-07T00:00:00"/>
    <d v="2026-12-30T00:00:00"/>
    <d v="2026-12-30T00:00:00"/>
    <s v="No action required"/>
    <m/>
    <s v="Dubai"/>
  </r>
  <r>
    <n v="338"/>
    <s v="X23958100"/>
    <s v="La bonne sante"/>
    <s v="PHARMAPAL"/>
    <s v="YaHala Exclusive"/>
    <x v="4"/>
    <s v="Health &amp; Fitness"/>
    <m/>
    <m/>
    <s v="25% Off products &amp; Services"/>
    <s v="Active"/>
    <d v="2026-01-10T00:00:00"/>
    <d v="2026-12-30T00:00:00"/>
    <d v="2026-12-30T00:00:00"/>
    <s v="Auto renewal"/>
    <m/>
    <s v="Dubai"/>
  </r>
  <r>
    <n v="339"/>
    <s v="X23958312"/>
    <s v="Maison Sante Clinic"/>
    <s v="PHARMAPAL"/>
    <s v="YaHala Exclusive"/>
    <x v="4"/>
    <s v="Clinic"/>
    <m/>
    <m/>
    <s v="15% on all treatments and supplements"/>
    <s v="Active"/>
    <d v="2026-01-27T00:00:00"/>
    <d v="2026-12-30T00:00:00"/>
    <d v="2026-12-30T00:00:00"/>
    <s v="Auto renewal"/>
    <m/>
    <s v="Dubai"/>
  </r>
  <r>
    <n v="340"/>
    <s v="X23958315"/>
    <s v="Healthy kitchen"/>
    <s v="PHARMAPAL"/>
    <s v="YaHala Exclusive"/>
    <x v="2"/>
    <m/>
    <s v="https://healthykitchen.delivery/"/>
    <s v="PMO15"/>
    <s v="15% on monthly subscription."/>
    <s v="Active"/>
    <d v="2026-01-27T00:00:00"/>
    <d v="2026-12-30T00:00:00"/>
    <d v="2026-12-30T00:00:00"/>
    <s v="Auto renewal"/>
    <m/>
    <s v="Dubai"/>
  </r>
  <r>
    <n v="341"/>
    <s v="X23880209"/>
    <s v="Union Car Insurance"/>
    <m/>
    <s v="YaHala Exclusive"/>
    <x v="3"/>
    <s v="Automotive"/>
    <m/>
    <m/>
    <s v="Special auto insurance rates &amp; benefits"/>
    <s v="Inactive"/>
    <s v=""/>
    <d v="2026-02-12T00:00:00"/>
    <s v="inactive"/>
    <s v="Deactive"/>
    <m/>
    <s v=""/>
  </r>
  <r>
    <n v="342"/>
    <s v="X23957989"/>
    <s v="Kcal"/>
    <m/>
    <s v="YaHala Exclusive"/>
    <x v="2"/>
    <m/>
    <s v="https://kcallife.com/"/>
    <s v="FUPRIME20 / YAHALA /SFYH55"/>
    <s v="pacakges , %"/>
    <s v="Active"/>
    <d v="2026-01-12T00:00:00"/>
    <d v="2026-12-30T00:00:00"/>
    <d v="2026-12-30T00:00:00"/>
    <s v="Auto renewal"/>
    <m/>
    <s v="Dubai"/>
  </r>
  <r>
    <n v="343"/>
    <s v="X23898313"/>
    <s v="Low calories"/>
    <s v="Low Calories restaurants"/>
    <s v="YaHala Exclusive"/>
    <x v="2"/>
    <s v="informal dining &amp; Takeaway"/>
    <s v="http://uae.thelowcalories.com/"/>
    <s v="YAHALALC"/>
    <m/>
    <s v="Active"/>
    <d v="2025-12-02T00:00:00"/>
    <d v="2026-12-30T00:00:00"/>
    <d v="2026-12-30T00:00:00"/>
    <m/>
    <m/>
    <s v="Dubai"/>
  </r>
  <r>
    <n v="344"/>
    <s v="X23959045"/>
    <s v="Maison Sante pharmacy"/>
    <s v="PHARMAPAL"/>
    <s v="YaHala Exclusive"/>
    <x v="4"/>
    <s v="Pharmacy"/>
    <s v="https://www.pharmacy.maisonsante.ae/"/>
    <s v="PMO15"/>
    <s v="15% on all treatments and supplements"/>
    <s v="Active"/>
    <d v="2026-03-16T00:00:00"/>
    <d v="2026-12-30T00:00:00"/>
    <d v="2026-12-30T00:00:00"/>
    <s v="Auto renewal"/>
    <m/>
    <s v="Dubai"/>
  </r>
  <r>
    <n v="345"/>
    <s v="X23960220"/>
    <s v="Tru beauty lounge"/>
    <m/>
    <s v="YaHala Exclusive"/>
    <x v="4"/>
    <s v="Beauty , Hair &amp; Nails"/>
    <m/>
    <m/>
    <s v="Spend 200AED and get 15% Discount"/>
    <s v="Active"/>
    <d v="2026-04-29T00:00:00"/>
    <d v="2026-12-30T00:00:00"/>
    <d v="2026-12-30T00:00:00"/>
    <s v="Auto renewal"/>
    <m/>
    <s v="Dubai"/>
  </r>
  <r>
    <n v="346"/>
    <s v="X23960222"/>
    <s v="Oak Pilates studio"/>
    <m/>
    <s v="YaHala Exclusive"/>
    <x v="4"/>
    <s v="Health &amp; Fitness"/>
    <m/>
    <m/>
    <s v="15% Off"/>
    <s v="Active"/>
    <d v="2026-04-29T00:00:00"/>
    <d v="2026-12-30T00:00:00"/>
    <d v="2026-12-30T00:00:00"/>
    <s v="Auto renewal"/>
    <m/>
    <s v="Dubai"/>
  </r>
  <r>
    <n v="347"/>
    <s v="X23960347"/>
    <s v="Klei Spa"/>
    <m/>
    <s v="YaHala Exclusive"/>
    <x v="4"/>
    <s v="Spa"/>
    <m/>
    <m/>
    <s v="10% Off"/>
    <s v="Active"/>
    <d v="2026-05-05T00:00:00"/>
    <d v="2026-12-30T00:00:00"/>
    <d v="2026-12-30T00:00:00"/>
    <s v="Auto renewal"/>
    <m/>
    <s v="Dubai"/>
  </r>
  <r>
    <n v="348"/>
    <s v="X23960537"/>
    <s v="Gigi Studio"/>
    <s v="Gigi studio"/>
    <s v="YaHala Exclusive"/>
    <x v="4"/>
    <s v="Health &amp; Fitness"/>
    <m/>
    <m/>
    <s v="15% Off"/>
    <s v="Active"/>
    <d v="2026-05-11T00:00:00"/>
    <d v="2026-12-30T00:00:00"/>
    <d v="2026-12-30T00:00:00"/>
    <s v="Auto renewal"/>
    <m/>
    <s v="Dubai"/>
  </r>
  <r>
    <n v="349"/>
    <s v="X23960770"/>
    <s v="Juve Cosmetics"/>
    <s v="Juve "/>
    <s v="YaHala Exclusive"/>
    <x v="4"/>
    <s v="Health &amp; Beauty"/>
    <s v="www.juve.ae"/>
    <s v=" YAHALA10 ( On Above 200 AED Orders)"/>
    <s v="10% Off"/>
    <s v="Active"/>
    <d v="2026-05-22T00:00:00"/>
    <d v="2026-12-30T00:00:00"/>
    <d v="2026-12-30T00:00:00"/>
    <s v="Auto renewal"/>
    <m/>
    <s v="Dubai"/>
  </r>
  <r>
    <n v="350"/>
    <s v="X23881326"/>
    <s v="Better Life"/>
    <s v="Easa Saleh Al Gurg Group"/>
    <s v="YaHala Exclusive"/>
    <x v="0"/>
    <s v="Furniture"/>
    <m/>
    <m/>
    <s v="10% off selected products"/>
    <s v="Active"/>
    <d v="2025-12-04T00:00:00"/>
    <d v="2026-12-30T00:00:00"/>
    <d v="2026-12-30T00:00:00"/>
    <s v="Need new contract"/>
    <m/>
    <s v="Dubai"/>
  </r>
  <r>
    <n v="351"/>
    <s v="X22217406"/>
    <s v="Home Centre"/>
    <s v="Landmark Retail Investment Co. LLC"/>
    <s v="YaHala Exclusive"/>
    <x v="0"/>
    <s v="Furniture"/>
    <m/>
    <m/>
    <s v="25% Off"/>
    <s v="Active"/>
    <d v="2025-12-05T00:00:00"/>
    <d v="2026-12-30T00:00:00"/>
    <d v="2026-12-30T00:00:00"/>
    <s v="Auto renewal"/>
    <m/>
    <s v="Dubai"/>
  </r>
  <r>
    <n v="352"/>
    <s v="X23880949"/>
    <s v="The one"/>
    <s v="The one home total experience"/>
    <s v="YaHala Exclusive"/>
    <x v="0"/>
    <s v="Furniture"/>
    <m/>
    <m/>
    <s v="20% Off"/>
    <s v="Active"/>
    <d v="2025-12-05T00:00:00"/>
    <d v="2027-03-30T00:00:00"/>
    <d v="2026-12-30T00:00:00"/>
    <s v="Auto renewal"/>
    <m/>
    <s v="Dubai"/>
  </r>
  <r>
    <n v="353"/>
    <s v="X23881323"/>
    <s v="Danube"/>
    <s v="Danube Home"/>
    <s v="YaHala Exclusive"/>
    <x v="0"/>
    <s v="Furniture"/>
    <m/>
    <m/>
    <s v="40% - 5% Off"/>
    <s v="Inactive"/>
    <s v=""/>
    <d v="2026-04-01T00:00:00"/>
    <s v="inactive"/>
    <s v="Deactive"/>
    <m/>
    <s v=""/>
  </r>
  <r>
    <n v="354"/>
    <s v="X23881328"/>
    <s v="Interiors"/>
    <s v="Easa Saleh Al Gurg Group"/>
    <s v="YaHala Exclusive"/>
    <x v="0"/>
    <s v="Furniture"/>
    <m/>
    <m/>
    <s v="10% off selected products"/>
    <s v="Active"/>
    <d v="2025-12-05T00:00:00"/>
    <d v="2026-12-30T00:00:00"/>
    <d v="2026-12-30T00:00:00"/>
    <s v="Need new contract"/>
    <m/>
    <s v="Dubai"/>
  </r>
  <r>
    <n v="355"/>
    <s v="X23909628"/>
    <s v="Baituti Furniture"/>
    <s v="BinHendi"/>
    <s v="YaHala Exclusive"/>
    <x v="0"/>
    <s v="Furniture"/>
    <m/>
    <m/>
    <s v="20% Off Total Bill"/>
    <s v="Active"/>
    <d v="2025-12-04T00:00:00"/>
    <d v="2026-12-30T00:00:00"/>
    <d v="2026-12-30T00:00:00"/>
    <s v="Need new contract"/>
    <m/>
    <s v="Dubai"/>
  </r>
  <r>
    <n v="356"/>
    <s v="X23928610"/>
    <s v="HSN decoration"/>
    <m/>
    <s v="YaHala Exclusive"/>
    <x v="0"/>
    <s v="Furniture"/>
    <m/>
    <m/>
    <s v="40% Off"/>
    <s v="Active"/>
    <d v="2025-12-02T00:00:00"/>
    <d v="2026-12-30T00:00:00"/>
    <d v="2026-12-30T00:00:00"/>
    <s v="Need new contract"/>
    <m/>
    <s v="Dubai"/>
  </r>
  <r>
    <n v="357"/>
    <s v="X23956897"/>
    <s v="Pan home"/>
    <s v="Pan  home  Emirates furniture"/>
    <s v="YaHala Exclusive"/>
    <x v="0"/>
    <s v="Furniture"/>
    <m/>
    <m/>
    <s v="5%30%"/>
    <s v="Active"/>
    <d v="2025-12-11T00:00:00"/>
    <d v="2026-10-29T00:00:00"/>
    <d v="2026-12-30T00:00:00"/>
    <s v="Auto renewal"/>
    <m/>
    <s v="Dubai"/>
  </r>
  <r>
    <n v="358"/>
    <s v="X23958752"/>
    <s v="Ebarza"/>
    <s v="Ebarza Trading"/>
    <s v="YaHala Exclusive"/>
    <x v="0"/>
    <s v="Furniture"/>
    <m/>
    <m/>
    <s v="10% -15%-20%-5%"/>
    <s v="Active"/>
    <d v="2026-02-20T00:00:00"/>
    <d v="2026-12-30T00:00:00"/>
    <d v="2026-12-30T00:00:00"/>
    <s v="Auto renewal"/>
    <s v="Abu Dhabi"/>
    <m/>
  </r>
  <r>
    <n v="359"/>
    <s v="X23930448"/>
    <s v="Armani hotel Dubai Yahala"/>
    <m/>
    <s v="YaHala Exclusive"/>
    <x v="5"/>
    <s v="Travel"/>
    <m/>
    <m/>
    <s v="Exclusive Rate on Stay"/>
    <s v="Inactive"/>
    <s v=""/>
    <d v="2026-05-18T00:00:00"/>
    <s v="inactive"/>
    <s v="Deactive"/>
    <m/>
    <s v=""/>
  </r>
  <r>
    <n v="360"/>
    <s v="X23930450"/>
    <s v="Atlantis the plam Yahala"/>
    <m/>
    <s v="YaHala Exclusive"/>
    <x v="5"/>
    <s v="Travel"/>
    <m/>
    <m/>
    <s v="Exclusive Rate on Stay"/>
    <s v="Active"/>
    <d v="2026-01-08T00:00:00"/>
    <d v="2026-12-30T00:00:00"/>
    <d v="2026-12-30T00:00:00"/>
    <s v="Auto renewal"/>
    <m/>
    <s v="Dubai"/>
  </r>
  <r>
    <n v="361"/>
    <s v="X23172625"/>
    <s v="Bab Al Shams Desert Resort &amp; Spa"/>
    <m/>
    <s v="YaHala Exclusive"/>
    <x v="5"/>
    <s v="Travel"/>
    <m/>
    <m/>
    <s v="Exclusive Rate on Stay"/>
    <s v="Active"/>
    <d v="2025-12-09T00:00:00"/>
    <d v="2026-12-30T00:00:00"/>
    <d v="2026-12-30T00:00:00"/>
    <s v="Auto renewal"/>
    <s v="Abu Dhabi"/>
    <s v="N/A"/>
  </r>
  <r>
    <n v="362"/>
    <s v="X23930452"/>
    <s v="Caesars Palace Bluewaters Dubai- Yahala"/>
    <m/>
    <s v="YaHala Exclusive"/>
    <x v="5"/>
    <s v="Travel"/>
    <m/>
    <m/>
    <s v="Exclusive Rate on Stay"/>
    <s v="Inactive"/>
    <s v=""/>
    <d v="2024-09-10T00:00:00"/>
    <s v="inactive"/>
    <s v="Deactive"/>
    <m/>
    <s v=""/>
  </r>
  <r>
    <n v="363"/>
    <s v="X23895836"/>
    <s v="Burj Al Arab"/>
    <m/>
    <s v="YaHala Exclusive"/>
    <x v="5"/>
    <s v="Travel"/>
    <m/>
    <m/>
    <s v="Exclusive Rate on Stay"/>
    <s v="Inactive"/>
    <s v=""/>
    <d v="2026-05-13T00:00:00"/>
    <s v="inactive"/>
    <s v="Deactive"/>
    <m/>
    <s v=""/>
  </r>
  <r>
    <n v="364"/>
    <s v="X23929981"/>
    <s v="Desert Islands Resort &amp; Spa by Anantara - Yahala"/>
    <m/>
    <s v="YaHala Exclusive"/>
    <x v="5"/>
    <s v="Travel"/>
    <m/>
    <m/>
    <s v="Exclusive Rate on Stay"/>
    <s v="Inactive"/>
    <s v=""/>
    <d v="2025-12-13T00:00:00"/>
    <s v="inactive"/>
    <s v="Deactive"/>
    <m/>
    <s v=""/>
  </r>
  <r>
    <n v="365"/>
    <s v="X23881215"/>
    <s v="DoubleTree by Hilton Resort &amp; Spa Marjan Island - Yahala"/>
    <m/>
    <s v="YaHala Exclusive"/>
    <x v="5"/>
    <s v="Travel"/>
    <m/>
    <m/>
    <s v="Exclusive Rate on Stay"/>
    <s v="Active"/>
    <d v="2026-01-08T00:00:00"/>
    <d v="2026-12-30T00:00:00"/>
    <d v="2026-12-30T00:00:00"/>
    <s v="Auto renewal"/>
    <m/>
    <s v="Dubai"/>
  </r>
  <r>
    <n v="366"/>
    <s v="X23930034"/>
    <s v="DUKES THE PALM, A Royal Hideaway Hotel"/>
    <m/>
    <s v="YaHala Exclusive"/>
    <x v="5"/>
    <s v="Travel"/>
    <m/>
    <m/>
    <s v="Exclusive Rate on Stay"/>
    <s v="Inactive"/>
    <s v=""/>
    <d v="2024-12-04T00:00:00"/>
    <s v="Deactive"/>
    <s v="Deactive"/>
    <m/>
    <s v=""/>
  </r>
  <r>
    <n v="367"/>
    <s v="X23929984"/>
    <s v="Dusit Thani Abu Dhabi"/>
    <m/>
    <s v="YaHala Exclusive"/>
    <x v="5"/>
    <s v="Travel"/>
    <m/>
    <m/>
    <s v="Exclusive Rate on Stay"/>
    <s v="Inactive"/>
    <s v=""/>
    <d v="2024-10-09T00:00:00"/>
    <s v="Deactive"/>
    <s v="Deactive"/>
    <m/>
    <s v=""/>
  </r>
  <r>
    <n v="368"/>
    <s v="X23881344"/>
    <s v="Address Hotels &amp; Resorts Dubai"/>
    <m/>
    <s v="YaHala Exclusive"/>
    <x v="5"/>
    <s v="Travel"/>
    <m/>
    <m/>
    <s v="Exclusive Rate on Stay"/>
    <s v="Active"/>
    <d v="2026-01-10T00:00:00"/>
    <d v="2026-12-30T00:00:00"/>
    <d v="2026-12-30T00:00:00"/>
    <m/>
    <m/>
    <s v="Dubai"/>
  </r>
  <r>
    <n v="369"/>
    <s v="X23941968"/>
    <s v="Rove Downtown"/>
    <m/>
    <s v="YaHala Exclusive"/>
    <x v="5"/>
    <s v="Travel"/>
    <m/>
    <m/>
    <s v="Exclusive Rate on Stay"/>
    <s v="Active"/>
    <d v="2026-01-08T00:00:00"/>
    <d v="2026-12-30T00:00:00"/>
    <d v="2026-12-30T00:00:00"/>
    <m/>
    <m/>
    <s v="Dubai"/>
  </r>
  <r>
    <n v="370"/>
    <s v="X23941966"/>
    <s v="Rove Dubai Marina"/>
    <m/>
    <s v="YaHala Exclusive"/>
    <x v="5"/>
    <s v="Travel"/>
    <m/>
    <m/>
    <s v="Exclusive Rate on Stay"/>
    <s v="Active"/>
    <d v="2026-01-08T00:00:00"/>
    <d v="2026-12-30T00:00:00"/>
    <d v="2026-12-30T00:00:00"/>
    <m/>
    <m/>
    <s v="Dubai"/>
  </r>
  <r>
    <n v="371"/>
    <s v="X23941967"/>
    <s v="Rove Trade Centre"/>
    <m/>
    <s v="YaHala Exclusive"/>
    <x v="5"/>
    <s v="Travel"/>
    <m/>
    <m/>
    <s v="Exclusive Rate on Stay"/>
    <s v="Active"/>
    <d v="2026-01-08T00:00:00"/>
    <d v="2026-12-30T00:00:00"/>
    <d v="2026-12-30T00:00:00"/>
    <m/>
    <m/>
    <s v="Dubai"/>
  </r>
  <r>
    <n v="372"/>
    <s v="X23941952"/>
    <s v="Vida Emirates Hills"/>
    <m/>
    <s v="YaHala Exclusive"/>
    <x v="5"/>
    <s v="Travel"/>
    <m/>
    <m/>
    <s v="Exclusive Rate on Stay"/>
    <s v="Active"/>
    <d v="2026-01-08T00:00:00"/>
    <d v="2026-12-30T00:00:00"/>
    <d v="2026-12-30T00:00:00"/>
    <m/>
    <m/>
    <s v="Dubai"/>
  </r>
  <r>
    <n v="373"/>
    <s v="X23941953"/>
    <s v="Vida Downtown"/>
    <m/>
    <s v="YaHala Exclusive"/>
    <x v="5"/>
    <s v="Travel"/>
    <m/>
    <m/>
    <s v="Exclusive Rate on Stay"/>
    <s v="Inactive"/>
    <s v=""/>
    <d v="2024-10-09T00:00:00"/>
    <s v="inactive"/>
    <m/>
    <m/>
    <s v=""/>
  </r>
  <r>
    <n v="374"/>
    <s v="X23941954"/>
    <s v="Vida Creek Harbour"/>
    <m/>
    <s v="YaHala Exclusive"/>
    <x v="5"/>
    <s v="Travel"/>
    <m/>
    <m/>
    <s v="Exclusive Rate on Stay"/>
    <s v="Active"/>
    <d v="2026-01-08T00:00:00"/>
    <d v="2026-12-30T00:00:00"/>
    <d v="2026-12-30T00:00:00"/>
    <m/>
    <m/>
    <s v="Dubai"/>
  </r>
  <r>
    <n v="375"/>
    <s v="X23930025"/>
    <s v="Emirates Park Resort - Yahala"/>
    <m/>
    <s v="YaHala Exclusive"/>
    <x v="5"/>
    <s v="Travel"/>
    <m/>
    <m/>
    <s v="Exclusive Rate on Stay"/>
    <s v="Active"/>
    <d v="2026-01-08T00:00:00"/>
    <d v="2026-12-30T00:00:00"/>
    <d v="2026-12-30T00:00:00"/>
    <m/>
    <s v="Abu Dhabi"/>
    <s v="N/A"/>
  </r>
  <r>
    <n v="376"/>
    <s v="X23930033"/>
    <s v="Fairmont Ajman - Yahala"/>
    <m/>
    <s v="YaHala Exclusive"/>
    <x v="5"/>
    <s v="Travel"/>
    <m/>
    <m/>
    <s v="Exclusive Rate on Stay"/>
    <s v="Active"/>
    <d v="2026-01-08T00:00:00"/>
    <d v="2026-12-30T00:00:00"/>
    <d v="2026-12-30T00:00:00"/>
    <m/>
    <m/>
    <s v="Dubai"/>
  </r>
  <r>
    <n v="377"/>
    <s v="X23930023"/>
    <s v="Fairmont Bab Al Bahr - Yahala"/>
    <m/>
    <s v="YaHala Exclusive"/>
    <x v="5"/>
    <s v="Travel"/>
    <m/>
    <m/>
    <s v="Exclusive Rate on Stay"/>
    <s v="Active"/>
    <d v="2026-01-08T00:00:00"/>
    <d v="2026-12-30T00:00:00"/>
    <d v="2026-12-30T00:00:00"/>
    <m/>
    <s v="Abu Dhabi"/>
    <s v="N/A"/>
  </r>
  <r>
    <n v="378"/>
    <s v="X23930032"/>
    <s v="Fairmont Dubai Yahala"/>
    <m/>
    <s v="YaHala Exclusive"/>
    <x v="5"/>
    <s v="Travel"/>
    <m/>
    <m/>
    <s v="Exclusive Rate on Stay"/>
    <s v="Active"/>
    <d v="2026-01-08T00:00:00"/>
    <d v="2026-12-30T00:00:00"/>
    <d v="2026-12-30T00:00:00"/>
    <m/>
    <m/>
    <s v="Dubai"/>
  </r>
  <r>
    <n v="379"/>
    <s v="X23930035"/>
    <s v="Fairmont Fujairah Beach Resort- Yahala"/>
    <m/>
    <s v="YaHala Exclusive"/>
    <x v="5"/>
    <s v="Travel"/>
    <m/>
    <m/>
    <s v="Exclusive Rate on Stay"/>
    <s v="Active"/>
    <d v="2026-01-08T00:00:00"/>
    <d v="2026-12-30T00:00:00"/>
    <d v="2026-12-30T00:00:00"/>
    <m/>
    <m/>
    <s v="Dubai"/>
  </r>
  <r>
    <n v="380"/>
    <s v="X23881766"/>
    <s v="Fairmont Makkah Clock Royal Tower"/>
    <m/>
    <s v="YaHala Exclusive"/>
    <x v="5"/>
    <s v="Travel"/>
    <m/>
    <m/>
    <s v="Exclusive Rate on Stay"/>
    <s v="Active"/>
    <d v="2025-12-09T00:00:00"/>
    <d v="2026-12-30T00:00:00"/>
    <d v="2026-12-30T00:00:00"/>
    <m/>
    <m/>
    <s v="N/A"/>
  </r>
  <r>
    <n v="381"/>
    <s v="X23881767"/>
    <s v="Raffles Makkah"/>
    <m/>
    <s v="YaHala Exclusive"/>
    <x v="5"/>
    <s v="Travel"/>
    <m/>
    <m/>
    <s v="Exclusive Rate on Stay"/>
    <s v="Active"/>
    <d v="2025-12-10T00:00:00"/>
    <d v="2026-12-30T00:00:00"/>
    <d v="2026-12-30T00:00:00"/>
    <m/>
    <m/>
    <s v="Dubai"/>
  </r>
  <r>
    <n v="382"/>
    <s v="X23881768"/>
    <s v="Swissotel Makkah"/>
    <m/>
    <s v="YaHala Exclusive"/>
    <x v="5"/>
    <s v="Travel"/>
    <m/>
    <m/>
    <s v="Exclusive Rate on Stay"/>
    <s v="Inactive"/>
    <s v=""/>
    <d v="2025-12-30T00:00:00"/>
    <s v="inactive"/>
    <s v="Deactive"/>
    <m/>
    <s v=""/>
  </r>
  <r>
    <n v="383"/>
    <s v="X23887099"/>
    <s v="Swissotel Al Maqam"/>
    <m/>
    <s v="YaHala Exclusive"/>
    <x v="5"/>
    <s v="Travel"/>
    <m/>
    <m/>
    <s v="Exclusive Rate on Stay"/>
    <s v="Inactive"/>
    <s v=""/>
    <d v="2025-12-30T00:00:00"/>
    <d v="2026-12-30T00:00:00"/>
    <s v="Activited Again in June 2026"/>
    <m/>
    <s v=""/>
  </r>
  <r>
    <n v="384"/>
    <s v="X23891549"/>
    <s v="FIVE Hotel JVC"/>
    <m/>
    <s v="YaHala Exclusive"/>
    <x v="5"/>
    <s v="Travel"/>
    <m/>
    <m/>
    <s v="Exclusive Rate on Stay"/>
    <s v="Inactive"/>
    <s v=""/>
    <d v="2025-01-15T00:00:00"/>
    <s v="inactive"/>
    <s v="Deactive"/>
    <m/>
    <s v=""/>
  </r>
  <r>
    <n v="385"/>
    <s v="X23891548"/>
    <s v="FIVE Hotel, Palm Jumeirah"/>
    <m/>
    <s v="YaHala Exclusive"/>
    <x v="5"/>
    <s v="Travel"/>
    <m/>
    <m/>
    <s v="Exclusive Rate on Stay"/>
    <s v="Inactive"/>
    <s v=""/>
    <d v="2025-01-15T00:00:00"/>
    <s v="inactive"/>
    <s v="Deactive"/>
    <m/>
    <s v=""/>
  </r>
  <r>
    <n v="386"/>
    <s v="X23881207"/>
    <s v="Four Seasons Hotel Abu Dhabi"/>
    <m/>
    <s v="YaHala Exclusive"/>
    <x v="5"/>
    <s v="Travel"/>
    <m/>
    <m/>
    <s v="Exclusive Rate on Stay"/>
    <s v="Active"/>
    <d v="2025-12-09T00:00:00"/>
    <d v="2026-12-30T00:00:00"/>
    <d v="2026-12-30T00:00:00"/>
    <m/>
    <s v="Abu Dhabi"/>
    <s v="N/A"/>
  </r>
  <r>
    <n v="387"/>
    <s v="X23172678"/>
    <s v="Four Seasons DIFC"/>
    <m/>
    <s v="YaHala Exclusive"/>
    <x v="5"/>
    <s v="Travel"/>
    <m/>
    <m/>
    <s v="Exclusive Rate on Stay"/>
    <s v="Active"/>
    <d v="2026-01-08T00:00:00"/>
    <d v="2026-12-30T00:00:00"/>
    <d v="2026-12-30T00:00:00"/>
    <m/>
    <m/>
    <s v="Dubai"/>
  </r>
  <r>
    <n v="388"/>
    <s v="X23882638"/>
    <s v="Four Seasons Kuala Lumpur"/>
    <m/>
    <s v="YaHala Exclusive"/>
    <x v="5"/>
    <s v="Travel"/>
    <m/>
    <m/>
    <s v="Exclusive Rate on Stay"/>
    <s v="Active"/>
    <d v="2026-01-08T00:00:00"/>
    <d v="2026-12-30T00:00:00"/>
    <d v="2026-12-30T00:00:00"/>
    <s v="Auto renewal"/>
    <m/>
    <s v="Dubai"/>
  </r>
  <r>
    <n v="389"/>
    <s v="X23881220"/>
    <s v="Four Seasons Resort Dubai at Jumeirah Beach"/>
    <m/>
    <s v="YaHala Exclusive"/>
    <x v="5"/>
    <s v="Travel"/>
    <m/>
    <m/>
    <s v="Exclusive Rate on Stay"/>
    <s v="Active"/>
    <d v="2026-01-08T00:00:00"/>
    <d v="2026-12-30T00:00:00"/>
    <d v="2026-12-30T00:00:00"/>
    <s v="Auto renewal"/>
    <m/>
    <s v="Dubai"/>
  </r>
  <r>
    <n v="390"/>
    <s v="X23172681"/>
    <s v="Grand Hyatt Dubai"/>
    <m/>
    <s v="YaHala Exclusive"/>
    <x v="5"/>
    <s v="Travel"/>
    <m/>
    <m/>
    <s v="Exclusive Rate on Stay"/>
    <s v="Active"/>
    <d v="2026-01-08T00:00:00"/>
    <d v="2026-12-30T00:00:00"/>
    <d v="2026-12-30T00:00:00"/>
    <s v="Auto renewal"/>
    <m/>
    <s v="Dubai"/>
  </r>
  <r>
    <n v="391"/>
    <s v="X23930028"/>
    <s v="Park Hyatt Abu Dhabi Hotel and Villa"/>
    <m/>
    <s v="YaHala Exclusive"/>
    <x v="5"/>
    <s v="Travel"/>
    <m/>
    <m/>
    <s v="Exclusive Rate on Stay"/>
    <s v="Inactive"/>
    <s v=""/>
    <d v="2024-09-10T00:00:00"/>
    <s v="inactive"/>
    <m/>
    <m/>
    <s v=""/>
  </r>
  <r>
    <n v="392"/>
    <s v="X23891909"/>
    <s v="Al Habtoor Palace Hotel"/>
    <m/>
    <s v="YaHala Exclusive"/>
    <x v="5"/>
    <s v="Travel"/>
    <m/>
    <m/>
    <s v="Exclusive Rate on Stay"/>
    <s v="Active"/>
    <d v="2025-12-09T00:00:00"/>
    <d v="2026-12-30T00:00:00"/>
    <d v="2026-12-30T00:00:00"/>
    <s v="Auto renewal"/>
    <m/>
    <s v="Dubai"/>
  </r>
  <r>
    <n v="393"/>
    <s v="X23929957"/>
    <s v="Ja Hatta Fort Hotel - Yahala"/>
    <m/>
    <s v="YaHala Exclusive"/>
    <x v="5"/>
    <s v="Travel"/>
    <m/>
    <m/>
    <s v="Exclusive Rate on Stay"/>
    <s v="Active"/>
    <d v="2026-01-08T00:00:00"/>
    <d v="2026-12-30T00:00:00"/>
    <d v="2026-12-30T00:00:00"/>
    <s v="Auto renewal"/>
    <m/>
    <s v="Dubai"/>
  </r>
  <r>
    <n v="394"/>
    <s v="X23891911"/>
    <s v="Hilton Dubai Al Habtoor City"/>
    <m/>
    <s v="YaHala Exclusive"/>
    <x v="5"/>
    <s v="Travel"/>
    <m/>
    <m/>
    <s v="Exclusive Rate on Stay"/>
    <s v="Active"/>
    <d v="2025-12-10T00:00:00"/>
    <d v="2026-12-30T00:00:00"/>
    <d v="2026-12-30T00:00:00"/>
    <s v="Auto renewal"/>
    <m/>
    <s v="Dubai"/>
  </r>
  <r>
    <n v="395"/>
    <s v="X23881348"/>
    <s v="Hotel Cafe Royal London"/>
    <m/>
    <s v="YaHala Exclusive"/>
    <x v="5"/>
    <s v="Travel"/>
    <m/>
    <m/>
    <s v="Exclusive Rate on Stay"/>
    <s v="Active"/>
    <s v=""/>
    <d v="2026-06-27T00:00:00"/>
    <s v="inactive"/>
    <m/>
    <m/>
    <s v=""/>
  </r>
  <r>
    <n v="396"/>
    <s v="X23893960"/>
    <s v="Hotel Lvtetia Paris"/>
    <m/>
    <s v="YaHala Exclusive"/>
    <x v="5"/>
    <s v="Travel"/>
    <m/>
    <m/>
    <s v="Exclusive Rate on Stay"/>
    <s v="Inactive"/>
    <s v=""/>
    <d v="2026-06-27T00:00:00"/>
    <s v="inactive"/>
    <m/>
    <m/>
    <s v=""/>
  </r>
  <r>
    <n v="397"/>
    <s v="X23930173"/>
    <s v="Hyatt Regency Dubai Creek Heights Residences- Yahala"/>
    <m/>
    <s v="YaHala Exclusive"/>
    <x v="5"/>
    <s v="Travel"/>
    <m/>
    <m/>
    <s v="Exclusive Rate on Stay"/>
    <s v="Inactive"/>
    <s v=""/>
    <d v="2025-04-30T00:00:00"/>
    <s v="Deactive"/>
    <m/>
    <m/>
    <s v=""/>
  </r>
  <r>
    <n v="398"/>
    <s v="X23172728"/>
    <s v="interContinental Dubai Marina"/>
    <m/>
    <s v="YaHala Exclusive"/>
    <x v="5"/>
    <s v="Travel"/>
    <m/>
    <m/>
    <s v="Exclusive Rate on Stay"/>
    <s v="Inactive"/>
    <s v=""/>
    <d v="2026-06-27T00:00:00"/>
    <s v="inactive"/>
    <m/>
    <m/>
    <s v=""/>
  </r>
  <r>
    <n v="399"/>
    <s v="X23881587"/>
    <s v="InterContinental Fujairah Resort"/>
    <m/>
    <s v="YaHala Exclusive"/>
    <x v="5"/>
    <s v="Travel"/>
    <m/>
    <m/>
    <s v="Exclusive Rate on Stay"/>
    <s v="Active"/>
    <d v="2025-12-10T00:00:00"/>
    <d v="2026-12-30T00:00:00"/>
    <d v="2026-12-30T00:00:00"/>
    <m/>
    <m/>
    <s v="Dubai"/>
  </r>
  <r>
    <n v="400"/>
    <s v="X23930172"/>
    <s v="Ja palm tree court- Yahala"/>
    <m/>
    <s v="YaHala Exclusive"/>
    <x v="5"/>
    <s v="Travel"/>
    <m/>
    <m/>
    <s v="Exclusive Rate on Stay"/>
    <s v="Active"/>
    <d v="2026-01-08T00:00:00"/>
    <d v="2026-12-30T00:00:00"/>
    <d v="2026-12-30T00:00:00"/>
    <m/>
    <m/>
    <s v="Dubai"/>
  </r>
  <r>
    <n v="401"/>
    <s v="X23930230"/>
    <s v="Ja beach hotel-Yahala"/>
    <m/>
    <s v="YaHala Exclusive"/>
    <x v="5"/>
    <s v="Travel"/>
    <m/>
    <m/>
    <s v="Exclusive Rate on Stay"/>
    <s v="Active"/>
    <d v="2026-01-08T00:00:00"/>
    <d v="2026-12-30T00:00:00"/>
    <d v="2026-12-30T00:00:00"/>
    <m/>
    <m/>
    <s v="Dubai"/>
  </r>
  <r>
    <n v="402"/>
    <s v="X23930168"/>
    <s v="JA Oasis Beach Tower - Yahala"/>
    <m/>
    <s v="YaHala Exclusive"/>
    <x v="5"/>
    <s v="Travel"/>
    <m/>
    <m/>
    <s v="Exclusive Rate on Stay"/>
    <s v="Active"/>
    <d v="2026-01-08T00:00:00"/>
    <d v="2026-12-30T00:00:00"/>
    <d v="2026-12-30T00:00:00"/>
    <m/>
    <m/>
    <s v="Dubai"/>
  </r>
  <r>
    <n v="403"/>
    <s v="X23929957"/>
    <s v="JA Hatta Fort Hotel - Yahala"/>
    <m/>
    <s v="YaHala Exclusive"/>
    <x v="5"/>
    <s v="Travel"/>
    <m/>
    <m/>
    <s v="Exclusive Rate on Stay"/>
    <s v="Active"/>
    <d v="2026-01-08T00:00:00"/>
    <d v="2026-12-30T00:00:00"/>
    <d v="2026-12-30T00:00:00"/>
    <m/>
    <m/>
    <s v="Dubai"/>
  </r>
  <r>
    <n v="404"/>
    <s v="X23930171"/>
    <s v="JA Ocean View Hotel-Yahala"/>
    <m/>
    <s v="YaHala Exclusive"/>
    <x v="5"/>
    <s v="Travel"/>
    <m/>
    <m/>
    <s v="Exclusive Rate on Stay"/>
    <s v="Active"/>
    <d v="2026-01-08T00:00:00"/>
    <d v="2026-12-30T00:00:00"/>
    <d v="2026-12-30T00:00:00"/>
    <m/>
    <m/>
    <s v="Dubai"/>
  </r>
  <r>
    <n v="405"/>
    <s v="X23930174"/>
    <s v="Lapita"/>
    <m/>
    <s v="YaHala Exclusive"/>
    <x v="5"/>
    <s v="Travel"/>
    <m/>
    <m/>
    <s v="Exclusive Rate on Stay"/>
    <s v="Active"/>
    <d v="2026-06-11T00:00:00"/>
    <d v="2026-12-30T00:00:00"/>
    <d v="2026-12-30T00:00:00"/>
    <m/>
    <m/>
    <s v="Dubai"/>
  </r>
  <r>
    <n v="406"/>
    <s v="X23888412"/>
    <s v="Jumeirah Al Naseem"/>
    <m/>
    <s v="YaHala Exclusive"/>
    <x v="5"/>
    <s v="Travel"/>
    <m/>
    <m/>
    <s v="Exclusive Rate on Stay"/>
    <s v="Active"/>
    <d v="2026-01-08T00:00:00"/>
    <d v="2026-12-30T00:00:00"/>
    <d v="2026-12-30T00:00:00"/>
    <m/>
    <m/>
    <s v="Dubai"/>
  </r>
  <r>
    <n v="407"/>
    <s v="X23888419"/>
    <s v="Jumeirah at saadiyat Island resort"/>
    <m/>
    <s v="YaHala Exclusive"/>
    <x v="5"/>
    <s v="Travel"/>
    <m/>
    <m/>
    <s v="Exclusive Rate on Stay"/>
    <s v="Active"/>
    <d v="2025-12-10T00:00:00"/>
    <d v="2026-12-30T00:00:00"/>
    <d v="2026-12-30T00:00:00"/>
    <m/>
    <m/>
    <s v="Dubai"/>
  </r>
  <r>
    <n v="408"/>
    <s v="X23174628"/>
    <s v="Jumeirah Emirates Towers"/>
    <m/>
    <s v="YaHala Exclusive"/>
    <x v="5"/>
    <s v="Travel"/>
    <m/>
    <m/>
    <s v="Exclusive Rate on Stay"/>
    <s v="Active"/>
    <d v="2025-12-10T00:00:00"/>
    <d v="2026-12-30T00:00:00"/>
    <d v="2026-12-30T00:00:00"/>
    <m/>
    <m/>
    <s v="Dubai"/>
  </r>
  <r>
    <n v="409"/>
    <s v="X23888416"/>
    <s v="Jumeirah Al Qasr Hotel"/>
    <m/>
    <s v="YaHala Exclusive"/>
    <x v="5"/>
    <s v="Travel"/>
    <m/>
    <m/>
    <s v="Exclusive Rate on Stay"/>
    <s v="Active"/>
    <d v="2025-12-10T00:00:00"/>
    <d v="2026-12-30T00:00:00"/>
    <d v="2026-12-30T00:00:00"/>
    <m/>
    <m/>
    <s v="Dubai"/>
  </r>
  <r>
    <n v="410"/>
    <s v="X23174663"/>
    <s v="Kempinski Hotel &amp; Residences Palm Jumeirah"/>
    <m/>
    <s v="YaHala Exclusive"/>
    <x v="5"/>
    <s v="Travel"/>
    <m/>
    <m/>
    <s v="Exclusive Rate on Stay"/>
    <s v="Active"/>
    <d v="2025-12-10T00:00:00"/>
    <d v="2026-12-30T00:00:00"/>
    <d v="2026-12-30T00:00:00"/>
    <m/>
    <m/>
    <s v="Dubai"/>
  </r>
  <r>
    <n v="411"/>
    <s v="X23174627"/>
    <s v="Jumeirah Zabeel Saray"/>
    <m/>
    <s v="YaHala Exclusive"/>
    <x v="5"/>
    <s v="Travel"/>
    <m/>
    <m/>
    <s v="Exclusive Rate on Stay"/>
    <s v="Active"/>
    <d v="2025-12-10T00:00:00"/>
    <d v="2026-12-30T00:00:00"/>
    <d v="2026-12-30T00:00:00"/>
    <m/>
    <m/>
    <s v="Dubai"/>
  </r>
  <r>
    <n v="412"/>
    <s v="X23888414"/>
    <s v="Jumeirah Beach Hotel"/>
    <m/>
    <s v="YaHala Exclusive"/>
    <x v="5"/>
    <s v="Travel"/>
    <m/>
    <m/>
    <s v="Exclusive Rate on Stay"/>
    <s v="Active"/>
    <d v="2025-12-10T00:00:00"/>
    <d v="2026-12-30T00:00:00"/>
    <d v="2026-12-30T00:00:00"/>
    <m/>
    <m/>
    <s v="Dubai"/>
  </r>
  <r>
    <n v="413"/>
    <s v="X23888421"/>
    <s v="Conrad Abu Dhabi Etihad Tower"/>
    <m/>
    <s v="YaHala Exclusive"/>
    <x v="5"/>
    <s v="Travel"/>
    <m/>
    <m/>
    <s v="Exclusive Rate on Stay"/>
    <s v="Active"/>
    <d v="2025-12-08T00:00:00"/>
    <d v="2026-12-30T00:00:00"/>
    <d v="2026-12-30T00:00:00"/>
    <m/>
    <s v="Abu Dhabi"/>
    <s v="N/A"/>
  </r>
  <r>
    <n v="414"/>
    <s v="X23174671"/>
    <s v="Kempinski Hotel Mall of the Emirates"/>
    <m/>
    <s v="YaHala Exclusive"/>
    <x v="5"/>
    <s v="Travel"/>
    <m/>
    <m/>
    <s v="Exclusive Rate on Stay"/>
    <s v="Active"/>
    <d v="2025-12-10T00:00:00"/>
    <d v="2026-12-30T00:00:00"/>
    <d v="2026-12-30T00:00:00"/>
    <m/>
    <m/>
    <s v="Dubai"/>
  </r>
  <r>
    <n v="415"/>
    <s v="X23881258"/>
    <s v="La Ville Hotel &amp; Suites"/>
    <m/>
    <s v="YaHala Exclusive"/>
    <x v="5"/>
    <s v="Travel"/>
    <m/>
    <m/>
    <s v="Exclusive Rate on Stay"/>
    <s v="Active"/>
    <d v="2025-12-10T00:00:00"/>
    <d v="2026-12-30T00:00:00"/>
    <d v="2026-12-30T00:00:00"/>
    <m/>
    <m/>
    <s v="Dubai"/>
  </r>
  <r>
    <n v="416"/>
    <s v="X23888415"/>
    <s v="Jumeirah Mina A'Salam"/>
    <m/>
    <s v="YaHala Exclusive"/>
    <x v="5"/>
    <s v="Travel"/>
    <m/>
    <m/>
    <s v="Exclusive Rate on Stay"/>
    <s v="Active"/>
    <d v="2025-12-10T00:00:00"/>
    <d v="2026-12-30T00:00:00"/>
    <d v="2026-12-30T00:00:00"/>
    <m/>
    <m/>
    <s v="Dubai"/>
  </r>
  <r>
    <n v="417"/>
    <s v="X23881389"/>
    <s v="Mandarin Oriental Jumeira Dubai"/>
    <m/>
    <s v="YaHala Exclusive"/>
    <x v="5"/>
    <s v="Travel"/>
    <m/>
    <m/>
    <s v="Exclusive Rate on Stay"/>
    <s v="Active"/>
    <d v="2025-12-10T00:00:00"/>
    <d v="2026-12-30T00:00:00"/>
    <d v="2026-12-30T00:00:00"/>
    <m/>
    <m/>
    <s v="Dubai"/>
  </r>
  <r>
    <n v="418"/>
    <s v="X23893606"/>
    <s v="Mandarin Oriental Munich"/>
    <m/>
    <s v="YaHala Exclusive"/>
    <x v="5"/>
    <s v="Travel"/>
    <m/>
    <m/>
    <s v="Exclusive Rate on Stay"/>
    <s v="Active"/>
    <d v="2025-12-10T00:00:00"/>
    <d v="2026-12-30T00:00:00"/>
    <d v="2026-12-30T00:00:00"/>
    <m/>
    <m/>
    <s v="Dubai"/>
  </r>
  <r>
    <n v="419"/>
    <s v="X23930165"/>
    <s v="Marjan Island Resort &amp; Spa - Yahala"/>
    <m/>
    <s v="YaHala Exclusive"/>
    <x v="5"/>
    <s v="Travel"/>
    <m/>
    <m/>
    <s v="Exclusive Rate on Stay"/>
    <s v="Inactive"/>
    <s v=""/>
    <d v="2025-12-30T00:00:00"/>
    <s v="deactivate"/>
    <m/>
    <m/>
    <s v=""/>
  </r>
  <r>
    <n v="420"/>
    <s v="X23881198"/>
    <s v="Marriott Hotel Al Forsan Abu Dhabi"/>
    <m/>
    <s v="YaHala Exclusive"/>
    <x v="5"/>
    <s v="Travel"/>
    <m/>
    <m/>
    <s v="Exclusive Rate on Stay"/>
    <s v="Active"/>
    <d v="2025-12-09T00:00:00"/>
    <d v="2026-12-30T00:00:00"/>
    <d v="2026-12-30T00:00:00"/>
    <m/>
    <s v="Abu Dhabi"/>
    <s v="N/A"/>
  </r>
  <r>
    <n v="421"/>
    <s v="X23881339"/>
    <s v="Melia Desert Palm, Dubai"/>
    <m/>
    <s v="YaHala Exclusive"/>
    <x v="5"/>
    <s v="Travel"/>
    <m/>
    <m/>
    <s v="Exclusive Rate on Stay"/>
    <s v="Active"/>
    <d v="2025-12-10T00:00:00"/>
    <d v="2026-12-30T00:00:00"/>
    <d v="2026-12-30T00:00:00"/>
    <s v="Auto renewal"/>
    <m/>
    <s v="Dubai"/>
  </r>
  <r>
    <n v="422"/>
    <s v="X23892099"/>
    <s v="Hatta Damani Lodges Resort by Meraas"/>
    <m/>
    <s v="YaHala Exclusive"/>
    <x v="5"/>
    <s v="Travel"/>
    <m/>
    <m/>
    <s v="Exclusive Rate on Stay"/>
    <s v="Active"/>
    <d v="2026-01-08T00:00:00"/>
    <d v="2026-12-30T00:00:00"/>
    <d v="2026-12-30T00:00:00"/>
    <m/>
    <m/>
    <s v="Dubai"/>
  </r>
  <r>
    <n v="423"/>
    <s v="X23944995"/>
    <s v="Palazzo Versace Dubai"/>
    <m/>
    <s v="YaHala Exclusive"/>
    <x v="5"/>
    <s v="Travel"/>
    <m/>
    <m/>
    <s v="Exclusive Rate on Stay"/>
    <s v="Active"/>
    <s v="Dec-9-2025"/>
    <d v="2026-12-30T00:00:00"/>
    <d v="2026-12-30T00:00:00"/>
    <m/>
    <m/>
    <s v="Dubai"/>
  </r>
  <r>
    <n v="424"/>
    <s v="X23930028"/>
    <s v="Park Hyatt Abu Dhabi Hotel and Villa - Yahala"/>
    <m/>
    <s v="YaHala Exclusive"/>
    <x v="5"/>
    <s v="Travel"/>
    <m/>
    <m/>
    <s v="Exclusive Rate on Stay"/>
    <s v="Inactive"/>
    <s v=""/>
    <d v="2025-12-30T00:00:00"/>
    <s v="As per Faisal's request"/>
    <m/>
    <m/>
    <s v=""/>
  </r>
  <r>
    <n v="425"/>
    <s v="X23881211"/>
    <s v="Peninsula Hotels Worldwide - Peninsula Hotels Worldwide"/>
    <m/>
    <s v="YaHala Exclusive"/>
    <x v="5"/>
    <s v="Travel"/>
    <m/>
    <m/>
    <s v="Exclusive Rate on Stay"/>
    <s v="Inactive"/>
    <s v=""/>
    <d v="2026-06-27T00:00:00"/>
    <s v="As per Faisal's request"/>
    <m/>
    <m/>
    <s v=""/>
  </r>
  <r>
    <n v="426"/>
    <s v="X23930030"/>
    <s v="Qasr Al Sarab Desert Resort by Anantara - Yahala"/>
    <m/>
    <s v="YaHala Exclusive"/>
    <x v="5"/>
    <s v="Travel"/>
    <m/>
    <m/>
    <s v="Exclusive Rate on Stay"/>
    <s v="Active"/>
    <d v="2026-01-08T00:00:00"/>
    <d v="2026-12-30T00:00:00"/>
    <d v="2026-12-30T00:00:00"/>
    <m/>
    <s v="Abu Dhabi"/>
    <s v="N/A"/>
  </r>
  <r>
    <n v="427"/>
    <s v="X23174761"/>
    <s v="Raffles Dubai"/>
    <m/>
    <s v="YaHala Exclusive"/>
    <x v="5"/>
    <s v="Travel"/>
    <m/>
    <m/>
    <s v="Exclusive Rate on Stay"/>
    <s v="Active"/>
    <d v="2025-12-09T00:00:00"/>
    <d v="2026-12-30T00:00:00"/>
    <d v="2026-12-30T00:00:00"/>
    <m/>
    <m/>
    <s v="Dubai"/>
  </r>
  <r>
    <n v="428"/>
    <s v="X23881586"/>
    <s v="Queen Elizabeth 2 Hotel"/>
    <m/>
    <s v="YaHala Exclusive"/>
    <x v="5"/>
    <s v="Travel"/>
    <m/>
    <m/>
    <s v="Exclusive Rate on Stay"/>
    <s v="Inactive"/>
    <s v=""/>
    <d v="2026-06-27T00:00:00"/>
    <s v="As per Faisal's request"/>
    <m/>
    <m/>
    <s v=""/>
  </r>
  <r>
    <n v="429"/>
    <s v="X23283012"/>
    <s v="Renaissance Downtown Hotel"/>
    <m/>
    <s v="YaHala Exclusive"/>
    <x v="5"/>
    <s v="Travel"/>
    <m/>
    <m/>
    <s v="Exclusive Rate on Stay"/>
    <s v="Inactive"/>
    <s v=""/>
    <d v="2026-06-27T00:00:00"/>
    <s v="As per Faisal's request"/>
    <m/>
    <m/>
    <s v=""/>
  </r>
  <r>
    <n v="430"/>
    <s v="X23930152"/>
    <s v="Rixos bab A bahr"/>
    <m/>
    <s v="YaHala Exclusive"/>
    <x v="5"/>
    <s v="Travel"/>
    <m/>
    <m/>
    <s v="Exclusive Rate on Stay"/>
    <s v="Active"/>
    <d v="2026-01-08T00:00:00"/>
    <d v="2026-12-30T00:00:00"/>
    <d v="2026-12-30T00:00:00"/>
    <m/>
    <m/>
    <s v="Dubai"/>
  </r>
  <r>
    <n v="431"/>
    <s v="X23885673"/>
    <s v="Rixos Premium Dubai JBR"/>
    <m/>
    <s v="YaHala Exclusive"/>
    <x v="5"/>
    <s v="Travel"/>
    <m/>
    <m/>
    <s v="Exclusive Rate on Stay"/>
    <s v="Active"/>
    <d v="2025-12-10T00:00:00"/>
    <d v="2026-12-30T00:00:00"/>
    <d v="2026-12-30T00:00:00"/>
    <m/>
    <m/>
    <s v="Dubai"/>
  </r>
  <r>
    <n v="432"/>
    <s v="X23885675"/>
    <s v="Rixos Saadiyat Island"/>
    <m/>
    <s v="YaHala Exclusive"/>
    <x v="5"/>
    <s v="Travel"/>
    <m/>
    <m/>
    <s v="Exclusive Rate on Stay"/>
    <s v="Active"/>
    <d v="2025-12-09T00:00:00"/>
    <d v="2026-12-30T00:00:00"/>
    <d v="2026-12-30T00:00:00"/>
    <m/>
    <s v="Abu Dhabi"/>
    <s v="N/A"/>
  </r>
  <r>
    <n v="433"/>
    <s v="X23091536"/>
    <s v="Rosewood Abu Dhabi"/>
    <m/>
    <s v="YaHala Exclusive"/>
    <x v="5"/>
    <s v="Travel"/>
    <m/>
    <m/>
    <s v="Exclusive Rate on Stay"/>
    <s v="Active"/>
    <d v="2025-12-09T00:00:00"/>
    <d v="2026-12-30T00:00:00"/>
    <d v="2026-12-30T00:00:00"/>
    <m/>
    <s v="Abu Dhabi"/>
    <s v="N/A"/>
  </r>
  <r>
    <n v="434"/>
    <s v="X23885503"/>
    <s v="Rosewood Abu Dhabi"/>
    <m/>
    <s v="YaHala Exclusive"/>
    <x v="5"/>
    <s v="Travel"/>
    <m/>
    <m/>
    <s v="Exclusive Rate on Stay"/>
    <s v="Active"/>
    <s v="Dec-9-2025"/>
    <d v="2026-12-30T00:00:00"/>
    <d v="2026-12-30T00:00:00"/>
    <m/>
    <s v="Abu Dhabi"/>
    <s v="N/A"/>
  </r>
  <r>
    <n v="435"/>
    <s v="X23891552"/>
    <s v="Saadiyat Rotana Resorts &amp; Villas"/>
    <m/>
    <s v="YaHala Exclusive"/>
    <x v="5"/>
    <s v="Travel"/>
    <m/>
    <m/>
    <s v="Exclusive Rate on Stay"/>
    <s v="Active"/>
    <d v="2025-12-09T00:00:00"/>
    <d v="2026-12-30T00:00:00"/>
    <d v="2026-12-30T00:00:00"/>
    <m/>
    <m/>
    <s v="Dubai"/>
  </r>
  <r>
    <n v="436"/>
    <s v="X23143107"/>
    <s v="Shangri-La Hotel Dubai"/>
    <m/>
    <s v="YaHala Exclusive"/>
    <x v="5"/>
    <s v="Travel"/>
    <m/>
    <m/>
    <s v="Exclusive Rate on Stay"/>
    <s v="Active"/>
    <d v="2025-12-09T00:00:00"/>
    <d v="2026-12-30T00:00:00"/>
    <d v="2026-12-30T00:00:00"/>
    <m/>
    <m/>
    <s v="Dubai"/>
  </r>
  <r>
    <n v="437"/>
    <s v="X23930026"/>
    <s v="Shangri-La Hotel-Qaryat Al Beri - Yahala"/>
    <m/>
    <s v="YaHala Exclusive"/>
    <x v="5"/>
    <s v="Travel"/>
    <m/>
    <m/>
    <s v="Exclusive Rate on Stay"/>
    <s v="Active"/>
    <d v="2026-01-08T00:00:00"/>
    <d v="2026-12-30T00:00:00"/>
    <d v="2026-12-30T00:00:00"/>
    <m/>
    <s v="Abu Dhabi"/>
    <s v="N/A"/>
  </r>
  <r>
    <n v="438"/>
    <s v="X23930482"/>
    <s v="Kingfisher Lodge - Yahala"/>
    <m/>
    <s v="YaHala Exclusive"/>
    <x v="5"/>
    <s v="Travel"/>
    <m/>
    <m/>
    <s v="Exclusive Rate on Stay"/>
    <s v="Active"/>
    <d v="2026-01-09T00:00:00"/>
    <d v="2026-12-30T00:00:00"/>
    <d v="2026-12-30T00:00:00"/>
    <m/>
    <m/>
    <s v="Dubai"/>
  </r>
  <r>
    <n v="439"/>
    <s v="X23930454"/>
    <s v="Al Faya Lodge - Yahala"/>
    <m/>
    <s v="YaHala Exclusive"/>
    <x v="5"/>
    <s v="Travel"/>
    <m/>
    <m/>
    <s v="Exclusive Rate on Stay"/>
    <s v="Active"/>
    <s v=""/>
    <d v="2025-12-30T00:00:00"/>
    <s v="deactivate"/>
    <m/>
    <m/>
    <s v=""/>
  </r>
  <r>
    <n v="440"/>
    <s v="X23930453"/>
    <s v="Al Badayer Oasis - Yahala"/>
    <m/>
    <s v="YaHala Exclusive"/>
    <x v="5"/>
    <s v="Travel"/>
    <m/>
    <m/>
    <s v="Exclusive Rate on Stay"/>
    <s v="Active"/>
    <s v=""/>
    <d v="2025-12-30T00:00:00"/>
    <s v="deactivate"/>
    <m/>
    <m/>
    <s v=""/>
  </r>
  <r>
    <n v="441"/>
    <s v="X23930129"/>
    <s v="Sheraton Sharjah Beach Resort &amp; Spa"/>
    <m/>
    <s v="YaHala Exclusive"/>
    <x v="5"/>
    <s v="Travel"/>
    <m/>
    <m/>
    <s v="Exclusive Rate on Stay"/>
    <s v="Inactive"/>
    <s v=""/>
    <d v="2025-12-30T00:00:00"/>
    <s v="deactivate"/>
    <m/>
    <m/>
    <s v=""/>
  </r>
  <r>
    <n v="442"/>
    <s v="X23930479"/>
    <s v="Six Senses Laamu - Yahala"/>
    <m/>
    <s v="YaHala Exclusive"/>
    <x v="5"/>
    <s v="Travel"/>
    <m/>
    <m/>
    <s v="Exclusive Rate on Stay"/>
    <s v="Active"/>
    <d v="2026-01-09T00:00:00"/>
    <d v="2026-12-30T00:00:00"/>
    <d v="2026-12-30T00:00:00"/>
    <m/>
    <m/>
    <s v="Dubai"/>
  </r>
  <r>
    <n v="443"/>
    <s v="X23881223"/>
    <s v="Six Senses Zighy Bay"/>
    <m/>
    <s v="YaHala Exclusive"/>
    <x v="5"/>
    <s v="Travel"/>
    <m/>
    <m/>
    <s v="Exclusive Rate on Stay"/>
    <s v="Active"/>
    <d v="2026-01-09T00:00:00"/>
    <d v="2026-12-30T00:00:00"/>
    <d v="2026-12-30T00:00:00"/>
    <m/>
    <m/>
    <s v="Dubai"/>
  </r>
  <r>
    <n v="444"/>
    <s v="X23885795"/>
    <s v="WOW Sochi"/>
    <m/>
    <s v="YaHala Exclusive"/>
    <x v="5"/>
    <s v="Travel"/>
    <m/>
    <m/>
    <s v="Exclusive Rate on Stay"/>
    <s v="Inactive"/>
    <s v=""/>
    <d v="2025-12-30T00:00:00"/>
    <s v="Non stop"/>
    <m/>
    <m/>
    <s v=""/>
  </r>
  <r>
    <n v="445"/>
    <s v="X21391174"/>
    <s v="Sofitel the palm"/>
    <m/>
    <s v="YaHala Exclusive"/>
    <x v="5"/>
    <s v="Travel"/>
    <m/>
    <m/>
    <s v="Exclusive Rate on Stay"/>
    <s v="Active"/>
    <d v="2026-01-09T00:00:00"/>
    <d v="2026-12-30T00:00:00"/>
    <d v="2026-12-30T00:00:00"/>
    <m/>
    <m/>
    <s v="Dubai"/>
  </r>
  <r>
    <n v="446"/>
    <s v="X23889024"/>
    <s v="St Regis Abu Dhabi Corniche"/>
    <m/>
    <s v="YaHala Exclusive"/>
    <x v="5"/>
    <s v="Travel"/>
    <m/>
    <m/>
    <s v="Exclusive Rate on Stay"/>
    <s v="Active"/>
    <d v="2025-12-09T00:00:00"/>
    <d v="2026-12-30T00:00:00"/>
    <d v="2026-12-30T00:00:00"/>
    <m/>
    <s v="Abu Dhabi"/>
    <s v="N/A"/>
  </r>
  <r>
    <n v="447"/>
    <s v="X23881206"/>
    <s v="Telal Resort Al Ain"/>
    <m/>
    <s v="YaHala Exclusive"/>
    <x v="5"/>
    <s v="Travel"/>
    <m/>
    <m/>
    <s v="Exclusive Rate on Stay"/>
    <s v="Active"/>
    <d v="2025-12-09T00:00:00"/>
    <d v="2026-12-30T00:00:00"/>
    <d v="2026-12-30T00:00:00"/>
    <m/>
    <s v="Abu Dhabi"/>
    <s v="N/A"/>
  </r>
  <r>
    <n v="448"/>
    <s v="X23881314"/>
    <s v="The Bulgari Resort Dubai"/>
    <m/>
    <s v="YaHala Exclusive"/>
    <x v="5"/>
    <s v="Travel"/>
    <m/>
    <m/>
    <s v="Exclusive Rate on Stay"/>
    <s v="Active"/>
    <d v="2025-12-10T00:00:00"/>
    <d v="2026-12-30T00:00:00"/>
    <d v="2026-12-30T00:00:00"/>
    <m/>
    <m/>
    <s v="Dubai"/>
  </r>
  <r>
    <n v="449"/>
    <s v="X037678"/>
    <s v="The Meydan Hotel"/>
    <m/>
    <s v="YaHala Exclusive"/>
    <x v="5"/>
    <s v="Travel"/>
    <m/>
    <m/>
    <s v="Exclusive Rate on Stay"/>
    <s v="Active"/>
    <s v=""/>
    <d v="2025-12-30T00:00:00"/>
    <s v="deactivate"/>
    <m/>
    <m/>
    <s v=""/>
  </r>
  <r>
    <n v="450"/>
    <s v="X23113846"/>
    <s v="The Retreat Palm Dubai MGallery by Sofitel"/>
    <m/>
    <s v="YaHala Exclusive"/>
    <x v="5"/>
    <s v="Travel"/>
    <m/>
    <m/>
    <s v="Exclusive Rate on Stay"/>
    <s v="Active"/>
    <d v="2026-01-09T00:00:00"/>
    <d v="2026-12-30T00:00:00"/>
    <d v="2026-12-30T00:00:00"/>
    <m/>
    <m/>
    <s v="Dubai"/>
  </r>
  <r>
    <n v="451"/>
    <s v="X23881307"/>
    <s v="The St. Regis Saadiyat Island Resort"/>
    <m/>
    <s v="YaHala Exclusive"/>
    <x v="5"/>
    <s v="Travel"/>
    <m/>
    <m/>
    <s v="Exclusive Rate on Stay"/>
    <s v="Active"/>
    <d v="2025-12-09T00:00:00"/>
    <d v="2026-12-30T00:00:00"/>
    <d v="2026-12-30T00:00:00"/>
    <m/>
    <s v="Abu Dhabi"/>
    <s v="N/A"/>
  </r>
  <r>
    <n v="452"/>
    <s v="X037752"/>
    <s v="Traders Hotel, Qaryat Al Beri, Abu Dhabi"/>
    <m/>
    <s v="YaHala Exclusive"/>
    <x v="5"/>
    <s v="Travel"/>
    <m/>
    <m/>
    <s v="Exclusive Rate on Stay"/>
    <s v="Active"/>
    <d v="2026-01-09T00:00:00"/>
    <d v="2026-12-30T00:00:00"/>
    <d v="2026-12-30T00:00:00"/>
    <m/>
    <s v="Abu Dhabi"/>
    <s v="N/A"/>
  </r>
  <r>
    <n v="453"/>
    <s v="X23891910"/>
    <s v="V Hotel Dubai, Curio Collection by Hilton"/>
    <m/>
    <s v="YaHala Exclusive"/>
    <x v="5"/>
    <s v="Travel"/>
    <m/>
    <m/>
    <s v="Exclusive Rate on Stay"/>
    <s v="Active"/>
    <d v="2025-12-10T00:00:00"/>
    <d v="2026-12-30T00:00:00"/>
    <d v="2026-12-30T00:00:00"/>
    <m/>
    <m/>
    <s v="Dubai"/>
  </r>
  <r>
    <n v="454"/>
    <s v="X23930151"/>
    <s v="VOCO Hotel- Yahala"/>
    <m/>
    <s v="YaHala Exclusive"/>
    <x v="5"/>
    <s v="Travel"/>
    <m/>
    <m/>
    <s v="Exclusive Rate on Stay"/>
    <s v="Active"/>
    <d v="2026-01-09T00:00:00"/>
    <d v="2026-12-30T00:00:00"/>
    <d v="2026-12-30T00:00:00"/>
    <m/>
    <m/>
    <s v="Dubai"/>
  </r>
  <r>
    <n v="455"/>
    <s v="X23881341"/>
    <s v="W Dubai The Palm"/>
    <m/>
    <s v="YaHala Exclusive"/>
    <x v="5"/>
    <s v="Travel"/>
    <m/>
    <m/>
    <s v="Exclusive Rate on Stay"/>
    <s v="Active"/>
    <d v="2025-12-29T00:00:00"/>
    <d v="2026-12-30T00:00:00"/>
    <d v="2026-12-30T00:00:00"/>
    <m/>
    <m/>
    <s v="Dubai"/>
  </r>
  <r>
    <n v="456"/>
    <s v="X23174890"/>
    <s v="Waldorf Astoria - Ras Al Khaimah"/>
    <m/>
    <s v="YaHala Exclusive"/>
    <x v="5"/>
    <s v="Travel"/>
    <m/>
    <m/>
    <s v="Exclusive Rate on Stay"/>
    <s v="Active"/>
    <d v="2025-12-09T00:00:00"/>
    <d v="2026-12-30T00:00:00"/>
    <d v="2026-12-30T00:00:00"/>
    <m/>
    <m/>
    <s v="Dubai"/>
  </r>
  <r>
    <n v="457"/>
    <s v="X23426495"/>
    <s v="Zaya Nurai Island"/>
    <m/>
    <s v="YaHala Exclusive"/>
    <x v="5"/>
    <s v="Travel"/>
    <m/>
    <m/>
    <s v="Exclusive Rate on Stay"/>
    <s v="Active"/>
    <d v="2025-12-09T00:00:00"/>
    <d v="2026-12-30T00:00:00"/>
    <d v="2026-12-30T00:00:00"/>
    <s v="Auto renewal"/>
    <s v="Abu Dhabi"/>
    <s v="N/A"/>
  </r>
  <r>
    <n v="458"/>
    <s v="X23172465"/>
    <s v="Al Maha Desert Resort"/>
    <m/>
    <s v="YaHala Exclusive"/>
    <x v="5"/>
    <s v="Travel"/>
    <m/>
    <m/>
    <s v="Exclusive Rate on Stay"/>
    <s v="Active"/>
    <d v="2026-01-09T00:00:00"/>
    <d v="2026-12-30T00:00:00"/>
    <d v="2026-12-30T00:00:00"/>
    <m/>
    <m/>
    <s v="Dubai"/>
  </r>
  <r>
    <n v="459"/>
    <s v="X23947242"/>
    <s v="Nikki Beach Resort &amp; Spa Dubai"/>
    <m/>
    <s v="YaHala Exclusive"/>
    <x v="5"/>
    <s v="Travel"/>
    <m/>
    <m/>
    <s v="Exclusive Rate on Stay"/>
    <s v="Active"/>
    <d v="2026-01-09T00:00:00"/>
    <d v="2026-12-30T00:00:00"/>
    <d v="2026-12-30T00:00:00"/>
    <m/>
    <m/>
    <s v="Dubai"/>
  </r>
  <r>
    <n v="460"/>
    <s v="X23239433"/>
    <s v="The Oberoi Ajman"/>
    <m/>
    <s v="YaHala Exclusive"/>
    <x v="5"/>
    <s v="Travel"/>
    <m/>
    <m/>
    <s v="Exclusive Rate on Stay"/>
    <s v="Active"/>
    <d v="2025-12-10T00:00:00"/>
    <d v="2026-12-30T00:00:00"/>
    <d v="2026-12-30T00:00:00"/>
    <m/>
    <m/>
    <s v="Dubai"/>
  </r>
  <r>
    <n v="461"/>
    <s v="X23930154"/>
    <s v="One&amp;Only The Palm"/>
    <m/>
    <s v="YaHala Exclusive"/>
    <x v="5"/>
    <s v="Travel"/>
    <m/>
    <m/>
    <s v="Exclusive Rate on Stay"/>
    <s v="Active"/>
    <d v="2026-01-09T00:00:00"/>
    <d v="2026-12-30T00:00:00"/>
    <d v="2026-12-30T00:00:00"/>
    <m/>
    <m/>
    <s v="Dubai"/>
  </r>
  <r>
    <n v="462"/>
    <s v="X23914722"/>
    <s v="SLS Dubai Hotel &amp; Residences"/>
    <m/>
    <s v="YaHala Exclusive"/>
    <x v="5"/>
    <s v="Travel"/>
    <m/>
    <m/>
    <s v="Exclusive Rate on Stay"/>
    <s v="Active"/>
    <d v="2025-12-10T00:00:00"/>
    <d v="2026-12-30T00:00:00"/>
    <d v="2026-12-30T00:00:00"/>
    <m/>
    <m/>
    <s v="Dubai"/>
  </r>
  <r>
    <n v="463"/>
    <s v="X23930877"/>
    <s v="Terra Solis"/>
    <m/>
    <s v="YaHala Exclusive"/>
    <x v="5"/>
    <s v="Travel"/>
    <m/>
    <m/>
    <s v="Exclusive Rate on Stay"/>
    <s v="Inactive"/>
    <s v=""/>
    <d v="2026-12-30T00:00:00"/>
    <d v="2026-12-30T00:00:00"/>
    <m/>
    <m/>
    <s v=""/>
  </r>
  <r>
    <n v="465"/>
    <s v="X23924989"/>
    <s v="Anantara World Island"/>
    <m/>
    <s v="YaHala Exclusive"/>
    <x v="5"/>
    <s v="Travel"/>
    <m/>
    <m/>
    <s v="Exclusive Rate on Stay"/>
    <s v="Inactive"/>
    <s v=""/>
    <d v="2026-06-18T00:00:00"/>
    <s v="inactive"/>
    <m/>
    <m/>
    <s v=""/>
  </r>
  <r>
    <n v="466"/>
    <s v="X23174758"/>
    <s v="Palazzo Versace Dubai rooms/F&amp;B/SPA"/>
    <m/>
    <s v="YaHala Exclusive"/>
    <x v="5"/>
    <s v="Travel"/>
    <m/>
    <m/>
    <s v="Exclusive Rate on Stay"/>
    <s v="Active"/>
    <s v="Jan-8-2026"/>
    <d v="2026-12-30T00:00:00"/>
    <d v="2026-12-30T00:00:00"/>
    <m/>
    <m/>
    <s v="Dubai"/>
  </r>
  <r>
    <n v="467"/>
    <s v="X23940177"/>
    <s v="Etihad Airline"/>
    <m/>
    <s v="YaHala Exclusive"/>
    <x v="5"/>
    <s v="Travel"/>
    <m/>
    <m/>
    <s v="Exclusive Rate on Stay"/>
    <s v="Inactive"/>
    <s v=""/>
    <d v="2024-09-10T00:00:00"/>
    <s v="As per Faisal's request"/>
    <m/>
    <m/>
    <s v=""/>
  </r>
  <r>
    <n v="468"/>
    <s v="X23926690"/>
    <s v="The Dubai EDITION"/>
    <m/>
    <s v="YaHala Exclusive"/>
    <x v="5"/>
    <s v="Travel"/>
    <m/>
    <m/>
    <s v="Exclusive Rate on Stay"/>
    <s v="Active"/>
    <d v="2025-12-10T00:00:00"/>
    <d v="2026-12-30T00:00:00"/>
    <d v="2026-12-30T00:00:00"/>
    <m/>
    <m/>
    <s v="Dubai"/>
  </r>
  <r>
    <n v="469"/>
    <s v="X23924630"/>
    <s v="Palace Beach Resort Fujairah"/>
    <m/>
    <s v="YaHala Exclusive"/>
    <x v="5"/>
    <s v="Travel"/>
    <m/>
    <m/>
    <s v="Exclusive Rate on Stay"/>
    <s v="Active"/>
    <d v="2026-01-09T00:00:00"/>
    <d v="2026-12-30T00:00:00"/>
    <d v="2026-12-30T00:00:00"/>
    <m/>
    <m/>
    <s v="Dubai"/>
  </r>
  <r>
    <n v="470"/>
    <s v="`X23941260"/>
    <s v="Jumeirah Muscat Bay "/>
    <m/>
    <s v="YaHala Exclusive"/>
    <x v="5"/>
    <s v="Travel"/>
    <m/>
    <m/>
    <s v="Exclusive Rate on Stay"/>
    <s v="Inactive"/>
    <s v=""/>
    <d v="2026-12-30T00:00:00"/>
    <d v="2026-12-30T00:00:00"/>
    <m/>
    <m/>
    <s v=""/>
  </r>
  <r>
    <n v="471"/>
    <s v="X23952915"/>
    <s v="Siro by one and only"/>
    <m/>
    <s v="YaHala Exclusive"/>
    <x v="5"/>
    <s v="Travel"/>
    <m/>
    <m/>
    <s v="Exclusive Rate on Stay"/>
    <s v="Active"/>
    <d v="2026-01-09T00:00:00"/>
    <d v="2026-12-30T00:00:00"/>
    <d v="2026-12-30T00:00:00"/>
    <m/>
    <m/>
    <s v="Dubai"/>
  </r>
  <r>
    <n v="472"/>
    <s v="X23945832"/>
    <s v="One and Only Zabeel"/>
    <m/>
    <s v="YaHala Exclusive"/>
    <x v="5"/>
    <s v="Travel"/>
    <m/>
    <m/>
    <s v="Exclusive Rate on Stay"/>
    <s v="Active"/>
    <s v="Jan-9-2026"/>
    <d v="2026-12-30T00:00:00"/>
    <d v="2026-12-30T00:00:00"/>
    <m/>
    <m/>
    <s v="Dubai"/>
  </r>
  <r>
    <n v="473"/>
    <s v="X23955931"/>
    <s v="Rosewood london"/>
    <m/>
    <s v="YaHala Exclusive"/>
    <x v="5"/>
    <s v="Travel"/>
    <m/>
    <m/>
    <s v="Exclusive Rate on Stay"/>
    <s v="Active"/>
    <d v="2026-01-09T00:00:00"/>
    <d v="2026-12-30T00:00:00"/>
    <d v="2026-12-30T00:00:00"/>
    <m/>
    <m/>
    <s v="Dubai"/>
  </r>
  <r>
    <n v="474"/>
    <s v="X23941252"/>
    <s v="Jumeirah Gulf of Bahrain Resort &amp; Spa - Bahrain - Yahala"/>
    <m/>
    <s v="YaHala Exclusive"/>
    <x v="5"/>
    <s v="Travel"/>
    <m/>
    <m/>
    <s v="Exclusive Rate on Stay"/>
    <s v="Active"/>
    <d v="2026-01-09T00:00:00"/>
    <d v="2026-12-30T00:00:00"/>
    <d v="2026-12-30T00:00:00"/>
    <m/>
    <m/>
    <s v="Dubai"/>
  </r>
  <r>
    <n v="475"/>
    <s v="X23941259"/>
    <s v="Jumeirah Messilah Beach Hotel &amp; Spa - Kuwait"/>
    <m/>
    <s v="YaHala Exclusive"/>
    <x v="5"/>
    <s v="Travel"/>
    <m/>
    <m/>
    <s v="Exclusive Rate on Stay"/>
    <s v="Active"/>
    <d v="2026-01-09T00:00:00"/>
    <d v="2026-12-30T00:00:00"/>
    <d v="2026-12-30T00:00:00"/>
    <m/>
    <m/>
    <s v="Dubai"/>
  </r>
  <r>
    <n v="476"/>
    <s v="X23941257"/>
    <s v="Jumeirah Makkah"/>
    <m/>
    <s v="YaHala Exclusive"/>
    <x v="5"/>
    <s v="Travel"/>
    <m/>
    <m/>
    <s v="Exclusive Rate on Stay"/>
    <s v="Active"/>
    <d v="2026-01-09T00:00:00"/>
    <d v="2026-12-30T00:00:00"/>
    <d v="2026-12-30T00:00:00"/>
    <m/>
    <m/>
    <s v="Dubai"/>
  </r>
  <r>
    <n v="477"/>
    <s v="X23941256"/>
    <s v="Jumeirah Lowndes Hotel"/>
    <m/>
    <s v="YaHala Exclusive"/>
    <x v="5"/>
    <s v="Travel"/>
    <m/>
    <m/>
    <s v="Exclusive Rate on Stay"/>
    <s v="Active"/>
    <d v="2026-01-09T00:00:00"/>
    <d v="2026-12-30T00:00:00"/>
    <d v="2026-12-30T00:00:00"/>
    <m/>
    <m/>
    <s v="Dubai"/>
  </r>
  <r>
    <n v="478"/>
    <s v="X23941262"/>
    <s v="Jumeirah Port Soller Hotel &amp; Spa"/>
    <m/>
    <s v="YaHala Exclusive"/>
    <x v="5"/>
    <s v="Travel"/>
    <m/>
    <m/>
    <s v="Exclusive Rate on Stay"/>
    <s v="Active"/>
    <d v="2026-01-09T00:00:00"/>
    <d v="2026-12-30T00:00:00"/>
    <d v="2026-12-30T00:00:00"/>
    <m/>
    <m/>
    <s v="Dubai"/>
  </r>
  <r>
    <n v="479"/>
    <s v="X23941250"/>
    <s v="Jumeirah Bali"/>
    <m/>
    <s v="YaHala Exclusive"/>
    <x v="5"/>
    <s v="Travel"/>
    <m/>
    <m/>
    <s v="Exclusive Rate on Stay"/>
    <s v="Active"/>
    <d v="2026-01-09T00:00:00"/>
    <d v="2026-12-30T00:00:00"/>
    <d v="2026-12-30T00:00:00"/>
    <m/>
    <m/>
    <s v="Dubai"/>
  </r>
  <r>
    <n v="480"/>
    <s v="X23941232"/>
    <s v="Jumeirah Living Guangzhou"/>
    <m/>
    <s v="YaHala Exclusive"/>
    <x v="5"/>
    <s v="Travel"/>
    <m/>
    <m/>
    <s v="Exclusive Rate on Stay"/>
    <s v="Active"/>
    <d v="2026-01-09T00:00:00"/>
    <d v="2026-12-30T00:00:00"/>
    <d v="2026-12-30T00:00:00"/>
    <m/>
    <m/>
    <s v="Dubai"/>
  </r>
  <r>
    <n v="481"/>
    <s v="X23941258"/>
    <s v="Jumeirah Maldives Olhahali Island"/>
    <m/>
    <s v="YaHala Exclusive"/>
    <x v="5"/>
    <s v="Travel"/>
    <m/>
    <m/>
    <s v="Exclusive Rate on Stay"/>
    <s v="Active"/>
    <d v="2026-01-09T00:00:00"/>
    <d v="2026-12-30T00:00:00"/>
    <d v="2026-12-30T00:00:00"/>
    <m/>
    <m/>
    <s v="Dubai"/>
  </r>
  <r>
    <n v="482"/>
    <s v="X23941253"/>
    <s v="Jumeirah Himalayas Ho"/>
    <m/>
    <s v="YaHala Exclusive"/>
    <x v="5"/>
    <s v="Travel"/>
    <m/>
    <m/>
    <s v="Exclusive Rate on Stay"/>
    <s v="Active"/>
    <d v="2026-01-09T00:00:00"/>
    <d v="2026-12-30T00:00:00"/>
    <d v="2026-12-30T00:00:00"/>
    <m/>
    <m/>
    <s v="Dubai"/>
  </r>
  <r>
    <n v="483"/>
    <s v="X23941261"/>
    <s v="Jumeirah Nanjing"/>
    <m/>
    <s v="YaHala Exclusive"/>
    <x v="5"/>
    <s v="Travel"/>
    <m/>
    <m/>
    <s v="Exclusive Rate on Stay"/>
    <s v="Active"/>
    <d v="2026-01-09T00:00:00"/>
    <d v="2026-12-30T00:00:00"/>
    <d v="2026-12-30T00:00:00"/>
    <m/>
    <m/>
    <s v="Dubai"/>
  </r>
  <r>
    <n v="484"/>
    <s v="X23941249"/>
    <s v="Capri Palace"/>
    <m/>
    <s v="YaHala Exclusive"/>
    <x v="5"/>
    <s v="Travel"/>
    <m/>
    <m/>
    <s v="Exclusive Rate on Stay"/>
    <s v="Active"/>
    <d v="2026-01-09T00:00:00"/>
    <d v="2026-12-30T00:00:00"/>
    <d v="2026-12-30T00:00:00"/>
    <m/>
    <m/>
    <s v="Dubai"/>
  </r>
  <r>
    <n v="485"/>
    <s v="X23941263"/>
    <s v="The Carlton Tower"/>
    <m/>
    <s v="YaHala Exclusive"/>
    <x v="5"/>
    <s v="Travel"/>
    <m/>
    <m/>
    <s v="Exclusive Rate on Stay"/>
    <s v="Active"/>
    <d v="2026-01-09T00:00:00"/>
    <d v="2026-12-30T00:00:00"/>
    <d v="2026-12-30T00:00:00"/>
    <m/>
    <m/>
    <s v="Dubai"/>
  </r>
  <r>
    <n v="486"/>
    <s v="X23930485"/>
    <s v="Nirvana Travel and Tourism - Yahala"/>
    <m/>
    <s v="YaHala Exclusive"/>
    <x v="5"/>
    <s v="Travel"/>
    <m/>
    <m/>
    <s v="Exclusive Rate on Stay"/>
    <s v="Active"/>
    <d v="2026-01-08T00:00:00"/>
    <d v="2026-12-30T00:00:00"/>
    <d v="2026-12-30T00:00:00"/>
    <m/>
    <m/>
    <s v="Dubai"/>
  </r>
  <r>
    <n v="487"/>
    <s v="X23881344"/>
    <s v="The adress hotel &amp; Resort"/>
    <s v="Emmar Hospiltality"/>
    <s v="YaHala Exclusive"/>
    <x v="5"/>
    <s v="Travel"/>
    <m/>
    <m/>
    <s v="Exclusive Rate on Stay"/>
    <s v="Active"/>
    <d v="2026-01-10T00:00:00"/>
    <d v="2026-12-30T00:00:00"/>
    <d v="2026-12-30T00:00:00"/>
    <m/>
    <m/>
    <s v="Dubai"/>
  </r>
  <r>
    <n v="488"/>
    <s v="X23881346"/>
    <s v="vida hotel &amp; Reseort"/>
    <s v="Emmar Hospiltality"/>
    <s v="YaHala Exclusive"/>
    <x v="5"/>
    <s v="Travel"/>
    <m/>
    <m/>
    <s v="Exclusive Rate on Stay"/>
    <s v="Active"/>
    <d v="2026-01-10T00:00:00"/>
    <d v="2026-12-30T00:00:00"/>
    <d v="2026-12-30T00:00:00"/>
    <m/>
    <m/>
    <s v="Dubai"/>
  </r>
  <r>
    <n v="489"/>
    <s v="X22859859"/>
    <s v="Sixt Rent a Car"/>
    <s v="Sixt Rent a car"/>
    <s v="YaHala Exclusive"/>
    <x v="3"/>
    <s v="Automotive"/>
    <s v="sixt.com.eg"/>
    <s v="PMO24"/>
    <s v="Exclusive 20%-15%"/>
    <s v="in process"/>
    <d v="2025-12-05T00:00:00"/>
    <d v="2026-12-30T00:00:00"/>
    <d v="2026-12-30T00:00:00"/>
    <s v="No action required"/>
    <m/>
    <s v="Dubai"/>
  </r>
  <r>
    <n v="490"/>
    <s v="X23890036"/>
    <s v="Grand Service Station"/>
    <s v="Grand Service Station"/>
    <s v="YaHala Exclusive"/>
    <x v="3"/>
    <s v="Automotive"/>
    <m/>
    <m/>
    <s v="Multi offers"/>
    <s v="Active"/>
    <d v="2025-12-03T00:00:00"/>
    <d v="2026-12-30T00:00:00"/>
    <d v="2026-12-30T00:00:00"/>
    <s v="Auto renewal"/>
    <m/>
    <s v="Dubai"/>
  </r>
  <r>
    <n v="491"/>
    <s v="X23880238"/>
    <s v="Hotel Promo Car Rental"/>
    <s v="Hotel Promo Car Rental"/>
    <s v="YaHala Exclusive"/>
    <x v="3"/>
    <s v="Automotive"/>
    <m/>
    <m/>
    <s v="International car rental"/>
    <s v="Active"/>
    <d v="2025-12-04T00:00:00"/>
    <d v="2026-12-30T00:00:00"/>
    <d v="2026-12-30T00:00:00"/>
    <s v="Auto renewal"/>
    <m/>
    <s v="Dubai"/>
  </r>
  <r>
    <n v="492"/>
    <s v="X23880302"/>
    <s v="Europcar"/>
    <s v="Europcar"/>
    <s v="YaHala Exclusive"/>
    <x v="3"/>
    <s v="Automotive"/>
    <s v="www.europcar"/>
    <n v="55815970"/>
    <s v="Up to 20%"/>
    <s v="Active"/>
    <d v="2025-12-03T00:00:00"/>
    <d v="2026-12-30T00:00:00"/>
    <d v="2026-12-30T00:00:00"/>
    <s v="Auto renewal"/>
    <m/>
    <s v="Dubai"/>
  </r>
  <r>
    <n v="493"/>
    <s v="X23881311"/>
    <s v="BMW"/>
    <m/>
    <s v="YaHala Exclusive"/>
    <x v="3"/>
    <s v="Automotive"/>
    <m/>
    <m/>
    <s v="Exclusive benefits with BMW corporate programme"/>
    <s v="Inactive"/>
    <s v=""/>
    <d v="2025-09-15T00:00:00"/>
    <s v="inactive"/>
    <s v="No action required"/>
    <m/>
    <s v=""/>
  </r>
  <r>
    <n v="494"/>
    <s v="X23881003"/>
    <s v="Volkswagen"/>
    <m/>
    <s v="YaHala Exclusive"/>
    <x v="3"/>
    <s v="Automotive"/>
    <m/>
    <m/>
    <s v="Special discounts &amp; exclusive benefits"/>
    <s v="Inactive"/>
    <s v=""/>
    <d v="2025-09-15T00:00:00"/>
    <s v="inactive"/>
    <s v="No action required"/>
    <m/>
    <s v=""/>
  </r>
  <r>
    <n v="495"/>
    <s v="X23880431"/>
    <s v="Mercedes Benz"/>
    <m/>
    <s v="YaHala Exclusive"/>
    <x v="3"/>
    <s v="Automotive"/>
    <m/>
    <m/>
    <s v="Special discounts with Mercedes Benz corporate programme"/>
    <s v="Inactive"/>
    <s v=""/>
    <d v="2025-09-15T00:00:00"/>
    <s v="inactive"/>
    <s v="No action required"/>
    <m/>
    <s v=""/>
  </r>
  <r>
    <n v="497"/>
    <s v="X23880939"/>
    <s v="Porsche"/>
    <m/>
    <s v="YaHala Exclusive"/>
    <x v="3"/>
    <s v="Automotive"/>
    <m/>
    <m/>
    <s v="Up to 5%"/>
    <s v="Inactive"/>
    <s v=""/>
    <d v="2025-09-15T00:00:00"/>
    <s v="inactive"/>
    <s v="No action required"/>
    <m/>
    <s v=""/>
  </r>
  <r>
    <n v="498"/>
    <s v="X23880430"/>
    <s v="Lexus"/>
    <m/>
    <s v="YaHala Exclusive"/>
    <x v="3"/>
    <s v="Automotive"/>
    <m/>
    <m/>
    <s v="Special Discount"/>
    <s v="Inactive"/>
    <s v=""/>
    <d v="2025-09-15T00:00:00"/>
    <s v="inactive"/>
    <s v="No action required"/>
    <m/>
    <s v=""/>
  </r>
  <r>
    <n v="499"/>
    <s v="X217713"/>
    <s v="HERTZ"/>
    <m/>
    <s v="YaHala Exclusive"/>
    <x v="3"/>
    <s v="Automotive"/>
    <m/>
    <m/>
    <s v="Up to 15%"/>
    <s v="Inactive"/>
    <s v=""/>
    <d v="2024-12-17T00:00:00"/>
    <s v="inactive"/>
    <s v="No action required"/>
    <m/>
    <s v=""/>
  </r>
  <r>
    <n v="500"/>
    <s v="X23881334"/>
    <s v="British Ordchard Nursery"/>
    <s v="Britsh Ordchard Nursery"/>
    <s v="YaHala Exclusive"/>
    <x v="3"/>
    <s v="Educational"/>
    <m/>
    <m/>
    <s v="25-35% off(3000AED per month per child in Dubai and Abu Dhabi  Brunches and 2000AED in Sharjah branch)"/>
    <s v="Active"/>
    <d v="2025-12-03T00:00:00"/>
    <d v="2026-12-30T00:00:00"/>
    <d v="2026-12-30T00:00:00"/>
    <s v="Auto renewal"/>
    <m/>
    <s v="Dubai"/>
  </r>
  <r>
    <n v="501"/>
    <s v="X23885160"/>
    <s v="Nord Anglia International School Dubai"/>
    <s v="Nord Anglia International School Dubai"/>
    <s v="YaHala Exclusive"/>
    <x v="3"/>
    <s v="Educational"/>
    <m/>
    <m/>
    <s v="7.5% off Tutition fees corprate"/>
    <s v="Inactive"/>
    <d v="2023-03-24T00:00:00"/>
    <d v="2026-04-21T00:00:00"/>
    <s v="inactive"/>
    <m/>
    <m/>
    <s v="Dubai"/>
  </r>
  <r>
    <n v="502"/>
    <s v="X23880396"/>
    <s v="Repton School Dubai"/>
    <s v="Repton School Dubai"/>
    <s v="YaHala Exclusive"/>
    <x v="3"/>
    <s v="Educational"/>
    <m/>
    <m/>
    <s v="7% off Tutition fees corprate"/>
    <s v="Active"/>
    <d v="2025-12-02T00:00:00"/>
    <d v="2026-12-30T00:00:00"/>
    <d v="2026-12-30T00:00:00"/>
    <s v="Active"/>
    <m/>
    <s v="Dubai"/>
  </r>
  <r>
    <n v="503"/>
    <s v="X23933313"/>
    <s v="Gems Education"/>
    <s v="Gems Education"/>
    <s v="YaHala Exclusive"/>
    <x v="3"/>
    <s v="Educational"/>
    <m/>
    <m/>
    <s v="10% Off"/>
    <s v="Active"/>
    <d v="2025-11-27T00:00:00"/>
    <d v="2027-01-05T00:00:00"/>
    <d v="2026-12-30T00:00:00"/>
    <s v="No action required"/>
    <m/>
    <s v="Dubai"/>
  </r>
  <r>
    <n v="504"/>
    <s v="X21656470"/>
    <s v="Melodica Music &amp; Dance Institute-ad"/>
    <m/>
    <s v="YaHala Exclusive"/>
    <x v="3"/>
    <s v="Educational"/>
    <m/>
    <m/>
    <s v="10% off on Silver, 15% off on Gold and 20% off on Platinum._x000a_Valid for Ya ha la employees, _x000a_Offer valid in all Melodica branches. "/>
    <s v="Inactive"/>
    <s v=""/>
    <d v="2024-12-30T00:00:00"/>
    <s v="inactive"/>
    <m/>
    <m/>
    <s v=""/>
  </r>
  <r>
    <n v="505"/>
    <s v="X23908480"/>
    <s v="World of Music &amp; Dance Institute"/>
    <m/>
    <s v="YaHala Exclusive"/>
    <x v="3"/>
    <s v="Educational"/>
    <m/>
    <m/>
    <s v="20% Off"/>
    <s v="Inactive"/>
    <s v=""/>
    <d v="2024-12-30T00:00:00"/>
    <s v="inactive"/>
    <m/>
    <m/>
    <s v=""/>
  </r>
  <r>
    <n v="506"/>
    <s v="X23879758"/>
    <s v="La Perle"/>
    <s v="Al Habtoor Theatre LLC"/>
    <s v="YaHala Exclusive"/>
    <x v="1"/>
    <s v="Cinema &amp; Theatre"/>
    <s v="la perle"/>
    <s v="GCDRJ29 - GOVKBF85"/>
    <s v="&quot;•_x0009_Adult Tickets from AED188.10 with Free Popcorn _x000a_•_x0009_Child Tickets from AED 148 with Free Popcorn _x000a_•_x0009_Book two La Perle Tickets and get 1 night stay @ V Hotel From  AED381_x000a_•_x0009_Show Dinner Packages From AED294  (restaurants situated within the three hotels at Al Habtoor City such as, Summer Place, Babiole , Zoco. The City Grill)_x000a_                                          _x000a_  TERMS AND CONDITIONS:_x000a__x0009_Offer valid for online bookings_x000a__x0009_Special rate for kids 12 years old and younger and each ticket includes a complimentary popcorn _x000a__x0009_ All kids need tickets and kids under the age of two are not recommended to attend the show _x000a__x0009_ Once purchased online, tickets can be collected 30 to 60 minutes prior to the show _x000a__x0009_Kids must be present at ticket collection and have an Emirates ID or Passport _x000a__x0009_All kids must be accompanied by an adult with a paid ticket _x000a__x0009_Hotel bookings are valid only for night of show and reservation will be made automatically. _x000a__x0009_Guest responsible for any Hotel service fees, municipality fees and VAT._x000a__x0009_Hotel stay is room only, no F&amp;B included, but guests may avail of a 25% discount applicable in all outlets. _x000a__x0009_Visit www.laperle.com and use the code GCDRJ29_x000a_&quot;"/>
    <s v="Active"/>
    <d v="2025-12-05T00:00:00"/>
    <d v="2026-12-30T00:00:00"/>
    <d v="2026-12-30T00:00:00"/>
    <s v="Auto renewal"/>
    <m/>
    <s v="Dubai"/>
  </r>
  <r>
    <n v="507"/>
    <s v="X23880440"/>
    <s v="Amwaj Al Bahr Boat and Yachts Chartering"/>
    <m/>
    <s v="YaHala Exclusive"/>
    <x v="1"/>
    <s v="Attractions"/>
    <m/>
    <m/>
    <s v="Exclusive corporate rates &amp; discounts"/>
    <s v="Inactive"/>
    <s v=""/>
    <d v="2024-11-25T00:00:00"/>
    <s v="inactive"/>
    <s v="Deactive"/>
    <m/>
    <s v=""/>
  </r>
  <r>
    <n v="508"/>
    <s v="X23901440"/>
    <s v="Mermaid Diving Centre"/>
    <s v="Mermaid Diving Centre"/>
    <s v="YaHala Exclusive"/>
    <x v="1"/>
    <s v="Sports &amp; Leisure"/>
    <m/>
    <m/>
    <s v="40% discount on Diving Centre and scuba diving"/>
    <s v="Active"/>
    <d v="2025-12-02T00:00:00"/>
    <d v="2026-12-30T00:00:00"/>
    <d v="2026-12-30T00:00:00"/>
    <s v="Auto renewal"/>
    <m/>
    <s v="Dubai"/>
  </r>
  <r>
    <n v="509"/>
    <s v="X23873104"/>
    <s v="IMG World of adventure"/>
    <s v="IMG World of adventure"/>
    <s v="YaHala Exclusive"/>
    <x v="1"/>
    <s v="Sports &amp; Leisure"/>
    <m/>
    <m/>
    <s v="General Admission Ticket AED 150 per person"/>
    <s v="Inactive"/>
    <s v=""/>
    <d v="2019-12-30T00:00:00"/>
    <s v="inactive"/>
    <s v="Deactive"/>
    <m/>
    <s v=""/>
  </r>
  <r>
    <n v="510"/>
    <s v="X23908474"/>
    <s v="Ain Dubai"/>
    <s v="Ain Dubai"/>
    <s v="YaHala Exclusive"/>
    <x v="1"/>
    <s v="Sports &amp; Leisure"/>
    <m/>
    <m/>
    <s v="&quot;Discount of 15% on Eligible Ticket/Cabin products._x000a_Yahala Card Holder 18 years and above.&quot;"/>
    <s v="Active"/>
    <d v="2025-12-05T00:00:00"/>
    <d v="2027-12-30T00:00:00"/>
    <d v="2026-12-30T00:00:00"/>
    <s v="Auto renewal"/>
    <m/>
    <s v="Dubai"/>
  </r>
  <r>
    <n v="511"/>
    <s v="X036795"/>
    <s v="Ski Dubai"/>
    <s v="Ski Dubai"/>
    <s v="YaHala Exclusive"/>
    <x v="1"/>
    <s v="Sports &amp; Leisure"/>
    <m/>
    <m/>
    <s v="&quot;Maximum of 6 guests_x000a_AED 190 Snow Classic_x000a_AED 240 Snow Plus_x000a_AED 380 Snow Premium_x000a_AED 150 Discovery lessons_x000a_AED 215 Group Lessons for Adults_x000a_AED 195 Group Lessons for Kids _x000a_AED 170 Slope Session Adults(2 Hours)_x000a_AED 145 Slope Session Child(2 Hours) _x000a_AED 99 Little Explorers Day Pass(MICC)_x000a_AED 99 Little Explorers Day Pass(DMM)_x000a_AED 154 iFLY(Standard Package)_x000a_AED 24 Yalla Bowling(weekdays)_x000a_AED 28 Per Game-Yalla Bowling(Weekends)_x000a_Govt&amp;Ministries 105 AED+10 Blue Swipers-Magic Planet(UAE)&quot;"/>
    <s v="Inactive"/>
    <s v=""/>
    <d v="2020-08-28T00:00:00"/>
    <s v="inactive"/>
    <s v="Deactive"/>
    <m/>
    <s v=""/>
  </r>
  <r>
    <n v="512"/>
    <s v="X105745"/>
    <s v="Kidzania- Dubai"/>
    <s v="EMAAR ENTERTAINMENT"/>
    <s v="YaHala Exclusive"/>
    <x v="1"/>
    <s v="Attractions"/>
    <m/>
    <m/>
    <s v="Economy Admission 4-16 yrs. old  25%_x000a_Adult Entry 25%_x000a_Toddler Entry (2-3 yrs.) 25%"/>
    <s v="Active"/>
    <d v="2025-12-05T00:00:00"/>
    <d v="2026-12-30T00:00:00"/>
    <d v="2026-12-30T00:00:00"/>
    <s v="Need new contract"/>
    <m/>
    <s v="Dubai"/>
  </r>
  <r>
    <n v="513"/>
    <s v="X23884658"/>
    <s v="Kidzania- AD"/>
    <s v="EMAAR ENTERTAINMENT"/>
    <s v="YaHala Exclusive"/>
    <x v="1"/>
    <s v="Attractions"/>
    <m/>
    <m/>
    <s v="Economy Admission 4-16 yrs. old  25%_x000a_Adult Entry 17 years old 25%_x000a_Toddler Entry (2-3 yrs.) 25%"/>
    <s v="Active"/>
    <d v="2025-12-03T00:00:00"/>
    <d v="2026-12-30T00:00:00"/>
    <d v="2026-12-30T00:00:00"/>
    <s v="Need new contract"/>
    <m/>
    <s v="Abu Dhabi"/>
  </r>
  <r>
    <n v="514"/>
    <s v="X035916"/>
    <s v="Dubai Aquarium &amp; Underwater Zoo"/>
    <s v="EMAAR ENTERTAINMENT"/>
    <s v="YaHala Exclusive"/>
    <x v="1"/>
    <s v="Attractions"/>
    <m/>
    <m/>
    <s v="Regular Pass 20%"/>
    <s v="Active"/>
    <d v="2025-12-05T00:00:00"/>
    <d v="2026-12-30T00:00:00"/>
    <d v="2026-12-30T00:00:00"/>
    <s v="Need new contract"/>
    <m/>
    <s v="Dubai"/>
  </r>
  <r>
    <n v="515"/>
    <s v="X035990"/>
    <s v="Dubai ice rink"/>
    <s v="EMAAR ENTERTAINMENT"/>
    <s v="YaHala Exclusive"/>
    <x v="1"/>
    <s v="Attractions"/>
    <m/>
    <m/>
    <s v="General Admission-off peak session 25%"/>
    <s v="Active"/>
    <d v="2025-12-07T00:00:00"/>
    <d v="2026-12-30T00:00:00"/>
    <d v="2026-12-30T00:00:00"/>
    <s v="Need new contract"/>
    <m/>
    <s v="Dubai"/>
  </r>
  <r>
    <n v="516"/>
    <s v="X23891680"/>
    <s v="Ekart zabeel"/>
    <s v="EMAAR ENTERTAINMENT"/>
    <s v="YaHala Exclusive"/>
    <x v="1"/>
    <s v="Attractions"/>
    <m/>
    <m/>
    <s v="Double session"/>
    <s v="Inactive"/>
    <s v=""/>
    <d v="2024-12-30T00:00:00"/>
    <s v="inactive"/>
    <s v="Deactive"/>
    <m/>
    <s v=""/>
  </r>
  <r>
    <n v="517"/>
    <s v="X23880619"/>
    <s v="Dig It"/>
    <s v="EMAAR ENTERTAINMENT"/>
    <s v="YaHala Exclusive"/>
    <x v="1"/>
    <s v="Attractions"/>
    <m/>
    <m/>
    <s v="Stay &amp; Dig"/>
    <s v="Inactive"/>
    <s v=""/>
    <d v="2024-12-30T00:00:00"/>
    <s v="inactive"/>
    <s v="Deactive"/>
    <m/>
    <s v=""/>
  </r>
  <r>
    <n v="518"/>
    <s v="X22217928"/>
    <s v="At the top burj khalifa"/>
    <s v="EMAAR ENTERTAINMENT"/>
    <s v="YaHala Exclusive"/>
    <x v="1"/>
    <s v="Attractions"/>
    <m/>
    <m/>
    <s v="The Lounge 10%_x000a_LVL 148 10%_x000a_Level 124,125 10%_x000a__x000a_"/>
    <s v="Active"/>
    <d v="2025-12-05T00:00:00"/>
    <d v="2026-12-30T00:00:00"/>
    <d v="2026-12-30T00:00:00"/>
    <s v="Need new contract"/>
    <m/>
    <s v="Dubai"/>
  </r>
  <r>
    <n v="519"/>
    <s v="X23950067"/>
    <s v="VR PARK SUPER"/>
    <s v="EMAAR ENTERTAINMENT"/>
    <s v="YaHala Exclusive"/>
    <x v="1"/>
    <s v="Attractions"/>
    <m/>
    <m/>
    <s v="Pass 7"/>
    <s v="Inactive"/>
    <s v=""/>
    <d v="2025-12-30T00:00:00"/>
    <s v="inactive"/>
    <s v="Deactive"/>
    <m/>
    <s v=""/>
  </r>
  <r>
    <n v="520"/>
    <s v="X23865132"/>
    <s v="Reel cinema"/>
    <s v="EMAAR ENTERTAINMENT"/>
    <s v="YaHala Exclusive"/>
    <x v="1"/>
    <s v="Cinema &amp; Theatre"/>
    <m/>
    <m/>
    <s v="Standard Ticket 25%_x000a_Standard Plus 25%_x000a_Dolby Cinema Plus 25%_x000a_Premier Tickets 25%_x000a_Reel Cinemas Food &amp; Beverages from the total bill 20%, Platinum Suites 25%"/>
    <s v="Active"/>
    <d v="2025-12-05T00:00:00"/>
    <d v="2026-12-30T00:00:00"/>
    <d v="2026-12-30T00:00:00"/>
    <s v="Need new contract"/>
    <m/>
    <s v="Dubai"/>
  </r>
  <r>
    <n v="521"/>
    <s v="X23856584"/>
    <s v="Vox cinema"/>
    <m/>
    <s v="YaHala Exclusive"/>
    <x v="1"/>
    <s v="Cinema &amp; Theatre"/>
    <m/>
    <m/>
    <s v="15% Off"/>
    <s v="Active"/>
    <d v="2025-12-07T00:00:00"/>
    <d v="2026-12-30T00:00:00"/>
    <d v="2026-12-30T00:00:00"/>
    <s v="No action required"/>
    <m/>
    <s v="Dubai"/>
  </r>
  <r>
    <n v="522"/>
    <s v="X23880982"/>
    <s v="The burj club spa"/>
    <m/>
    <s v="YaHala Exclusive"/>
    <x v="1"/>
    <s v="Spas"/>
    <m/>
    <m/>
    <s v="Treatment &amp; Gym membership 30% Off"/>
    <s v="Inactive"/>
    <s v=""/>
    <d v="2024-12-30T00:00:00"/>
    <s v="inactive"/>
    <s v="No action required"/>
    <m/>
    <s v=""/>
  </r>
  <r>
    <n v="523"/>
    <s v="X23890833"/>
    <s v="The dubai fountain"/>
    <m/>
    <s v="YaHala Exclusive"/>
    <x v="1"/>
    <s v="Attractions"/>
    <m/>
    <m/>
    <s v="20%Off &amp; 25% Off"/>
    <s v="Inactive"/>
    <s v=""/>
    <d v="2025-12-30T00:00:00"/>
    <s v="inactive"/>
    <s v="No action required"/>
    <m/>
    <s v=""/>
  </r>
  <r>
    <n v="524"/>
    <s v="X23942869"/>
    <s v="Hello PARK"/>
    <m/>
    <s v="YaHala Exclusive"/>
    <x v="1"/>
    <m/>
    <m/>
    <m/>
    <s v="15% Off"/>
    <s v="Active"/>
    <d v="2025-12-05T00:00:00"/>
    <d v="2026-12-30T00:00:00"/>
    <d v="2026-12-30T00:00:00"/>
    <s v="No action required"/>
    <m/>
    <s v="Dubai"/>
  </r>
  <r>
    <n v="525"/>
    <s v="X23870285"/>
    <s v="Play DXB exist in SF AS VR theme park"/>
    <s v="EMAAR ENTERTAINMENT"/>
    <s v="YaHala Exclusive"/>
    <x v="1"/>
    <s v="Attractions"/>
    <m/>
    <m/>
    <s v="Reload Credits 25%"/>
    <s v="Active"/>
    <d v="2025-12-07T00:00:00"/>
    <d v="2026-12-30T00:00:00"/>
    <d v="2026-12-30T00:00:00"/>
    <s v="No action required"/>
    <m/>
    <s v="Dubai"/>
  </r>
  <r>
    <n v="526"/>
    <s v="X23927981"/>
    <s v="Sky View observatory"/>
    <s v="EMAAR ENTERTAINMENT"/>
    <s v="YaHala Exclusive"/>
    <x v="1"/>
    <s v="Attractions"/>
    <m/>
    <m/>
    <s v="The Observatory General Admission- Adult 25%, The Observatory General Admission- 25% of kids admissions,  admission, café and retail 25%, 25% off Edge walk_x000a_The Observatory General Admission- Child (3-8 yrs.) 25%"/>
    <s v="Active"/>
    <d v="2025-12-03T00:00:00"/>
    <d v="2026-12-30T00:00:00"/>
    <d v="2026-12-30T00:00:00"/>
    <s v="No action required"/>
    <m/>
    <s v="Dubai"/>
  </r>
  <r>
    <n v="527"/>
    <s v="X23927978"/>
    <s v="The storm coaster dubai hills mal"/>
    <s v="EMAAR ENTERTAINMENT"/>
    <s v="YaHala Exclusive"/>
    <x v="1"/>
    <s v="Attractions"/>
    <m/>
    <m/>
    <s v="Single Ride 25%_x000a_Premium Ticket Double Rides 25%_x000a_Supreme Ticket Three Rides 25%"/>
    <s v="Active"/>
    <d v="2025-12-04T00:00:00"/>
    <d v="2026-12-30T00:00:00"/>
    <d v="2026-12-30T00:00:00"/>
    <s v="No action required"/>
    <m/>
    <s v="Dubai"/>
  </r>
  <r>
    <n v="528"/>
    <s v="X23950521"/>
    <s v="adventure park"/>
    <s v="EMAAR ENTERTAINMENT"/>
    <s v="YaHala Exclusive"/>
    <x v="1"/>
    <s v="Attractions"/>
    <m/>
    <m/>
    <s v="25% Off"/>
    <s v="Active"/>
    <d v="2025-12-04T00:00:00"/>
    <d v="2026-12-30T00:00:00"/>
    <d v="2026-12-30T00:00:00"/>
    <s v="No action required"/>
    <m/>
    <s v="Dubai"/>
  </r>
  <r>
    <n v="529"/>
    <s v="X23942161"/>
    <s v="Arabic Music Institute"/>
    <s v="EMAAR ENTERTAINMENT"/>
    <s v="YaHala Exclusive"/>
    <x v="1"/>
    <s v="Creative Arts &amp; Eduction"/>
    <m/>
    <m/>
    <s v="25% Off music lessons-off recording studio- enrollements courses"/>
    <s v="Active"/>
    <d v="2025-12-04T00:00:00"/>
    <d v="2026-12-30T00:00:00"/>
    <d v="2026-12-30T00:00:00"/>
    <s v="No action required"/>
    <m/>
    <s v="Dubai"/>
  </r>
  <r>
    <n v="530"/>
    <s v="X23915178"/>
    <s v="Zabeel Sports District"/>
    <s v="EMAAR ENTERTAINMENT"/>
    <s v="YaHala Exclusive"/>
    <x v="1"/>
    <s v="Sports &amp; Leisure"/>
    <m/>
    <m/>
    <s v="25% On Courses, Enrolments, recording studio"/>
    <s v="Inactive"/>
    <s v=""/>
    <d v="2025-12-30T00:00:00"/>
    <s v="inactive"/>
    <s v="No action required"/>
    <m/>
    <s v=""/>
  </r>
  <r>
    <n v="531"/>
    <s v="X23756734"/>
    <s v="The burj club"/>
    <s v="EMAAR ENTERTAINMENT"/>
    <s v="YaHala Exclusive"/>
    <x v="4"/>
    <s v="Health &amp; Fitness"/>
    <m/>
    <m/>
    <s v="25% off cricket, padel, badminton or basketball court rental"/>
    <s v="Active"/>
    <d v="2025-12-04T00:00:00"/>
    <d v="2026-12-30T00:00:00"/>
    <d v="2026-12-30T00:00:00"/>
    <s v="No action required"/>
    <m/>
    <s v="Dubai"/>
  </r>
  <r>
    <n v="532"/>
    <s v="X23949284"/>
    <s v="Air Arabia"/>
    <m/>
    <s v="YaHala Exclusive"/>
    <x v="5"/>
    <s v="Travel"/>
    <s v="airarabia"/>
    <s v="promo code ULTPMO"/>
    <s v="10% off ultimate fare bookings using promo code ULTPMO"/>
    <s v="Inactive"/>
    <s v=""/>
    <d v="2026-05-14T00:00:00"/>
    <s v="inactive"/>
    <s v="No action required"/>
    <m/>
    <s v=""/>
  </r>
  <r>
    <n v="533"/>
    <s v="X037838"/>
    <s v="Wild wadi"/>
    <s v="Dubai park&amp; Resorts"/>
    <s v="YaHala Exclusive"/>
    <x v="1"/>
    <s v="Attractions"/>
    <m/>
    <m/>
    <s v="50% off on waterpark admission"/>
    <s v="Active"/>
    <d v="2025-12-03T00:00:00"/>
    <d v="2027-12-30T00:00:00"/>
    <d v="2027-12-30T00:00:00"/>
    <s v="No action required"/>
    <m/>
    <s v="Dubai"/>
  </r>
  <r>
    <n v="534"/>
    <s v="X23913579"/>
    <s v="Motiongate"/>
    <s v="Dubai park&amp; Resorts"/>
    <s v="YaHala Exclusive"/>
    <x v="1"/>
    <s v="Attractions"/>
    <m/>
    <m/>
    <s v="30% Off"/>
    <s v="Active"/>
    <d v="2026-02-03T00:00:00"/>
    <d v="2027-12-30T00:00:00"/>
    <d v="2027-12-30T00:00:00"/>
    <s v="No action required"/>
    <m/>
    <s v="Dubai"/>
  </r>
  <r>
    <n v="535"/>
    <s v="X23913582"/>
    <s v="Legoland"/>
    <s v="Dubai park&amp; Resorts"/>
    <s v="YaHala Exclusive"/>
    <x v="1"/>
    <s v="Attractions"/>
    <m/>
    <m/>
    <s v="30% Off"/>
    <s v="Active"/>
    <d v="2026-02-03T00:00:00"/>
    <d v="2027-12-30T00:00:00"/>
    <d v="2027-12-30T00:00:00"/>
    <s v="No action required"/>
    <m/>
    <s v="Dubai"/>
  </r>
  <r>
    <n v="536"/>
    <s v="X23949739"/>
    <s v="Legoland &amp; waterpark"/>
    <s v="Dubai park&amp; Resorts"/>
    <s v="YaHala Exclusive"/>
    <x v="1"/>
    <s v="Attractions"/>
    <m/>
    <m/>
    <s v="30% Off"/>
    <s v="Active"/>
    <d v="2026-02-03T00:00:00"/>
    <d v="2027-12-30T00:00:00"/>
    <d v="2027-12-30T00:00:00"/>
    <s v="No action required"/>
    <m/>
    <s v="Dubai"/>
  </r>
  <r>
    <n v="537"/>
    <s v="X23940952"/>
    <s v="Neon Galaxy"/>
    <s v="Dubai park&amp; Resorts"/>
    <s v="YaHala Exclusive"/>
    <x v="1"/>
    <s v="Attractions"/>
    <m/>
    <m/>
    <s v="30% Off"/>
    <s v="Active"/>
    <d v="2026-02-03T00:00:00"/>
    <d v="2027-12-30T00:00:00"/>
    <d v="2027-12-30T00:00:00"/>
    <s v="No action required"/>
    <m/>
    <s v="Dubai"/>
  </r>
  <r>
    <n v="538"/>
    <s v="X23944456"/>
    <s v="RealMadrid world"/>
    <s v="Dubai park&amp; Resorts"/>
    <s v="YaHala Exclusive"/>
    <x v="1"/>
    <s v="Attractions"/>
    <m/>
    <m/>
    <s v="30% Off"/>
    <s v="Active"/>
    <d v="2026-02-17T00:00:00"/>
    <d v="2027-12-30T00:00:00"/>
    <d v="2027-12-30T00:00:00"/>
    <s v="No action required"/>
    <m/>
    <s v="Dubai"/>
  </r>
  <r>
    <n v="539"/>
    <s v="X23958307"/>
    <s v="T-Rex glamping"/>
    <s v="Dubai park&amp; Resorts"/>
    <s v="YaHala Exclusive"/>
    <x v="1"/>
    <s v="Attractions"/>
    <m/>
    <m/>
    <s v="20% Off"/>
    <s v="Active"/>
    <d v="2026-02-03T00:00:00"/>
    <d v="2027-12-30T00:00:00"/>
    <d v="2027-12-30T00:00:00"/>
    <s v="No action required"/>
    <m/>
    <s v="Dubai"/>
  </r>
  <r>
    <n v="540"/>
    <s v="X23960216"/>
    <s v="EDGE"/>
    <s v="Edge Cycling"/>
    <s v="YaHala Exclusive"/>
    <x v="1"/>
    <s v="Attractions"/>
    <m/>
    <m/>
    <s v="10% Off"/>
    <s v="Active"/>
    <d v="2026-04-29T00:00:00"/>
    <d v="2026-12-30T00:00:00"/>
    <d v="2026-12-30T00:00:00"/>
    <s v="No action required"/>
    <m/>
    <s v="Dubai"/>
  </r>
  <r>
    <m/>
    <s v="X23960224"/>
    <s v="Padel Pro one centre"/>
    <s v="Team Padel pro DMCC"/>
    <s v="YaHala Exclusive"/>
    <x v="1"/>
    <s v="Sports &amp; Leisure"/>
    <m/>
    <m/>
    <s v="different offers"/>
    <s v="Active"/>
    <s v="Apr-29-2026"/>
    <d v="2026-12-30T00:00:00"/>
    <d v="2026-12-30T00:00:00"/>
    <s v="No action required"/>
    <m/>
    <s v="Dubai"/>
  </r>
  <r>
    <m/>
    <s v="X23960226"/>
    <s v="Padel Pro Al Quoz"/>
    <s v="Team Padel pro DMCC"/>
    <s v="YaHala Exclusive"/>
    <x v="1"/>
    <s v="Sports &amp; Leisure"/>
    <m/>
    <m/>
    <s v="different offers"/>
    <s v="Active"/>
    <s v="Apr-29-2026"/>
    <d v="2026-12-30T00:00:00"/>
    <d v="2026-12-30T00:00:00"/>
    <s v="No action required"/>
    <m/>
    <s v="Dubai"/>
  </r>
  <r>
    <n v="541"/>
    <s v="G23960223"/>
    <s v="Padel Pro"/>
    <s v="Team Padel pro DMCC"/>
    <s v="YaHala Exclusive"/>
    <x v="1"/>
    <s v="Sports &amp; Leisure"/>
    <m/>
    <m/>
    <s v="different offers"/>
    <s v="Active"/>
    <s v="Apr-29-2026"/>
    <d v="2026-12-30T00:00:00"/>
    <d v="2026-12-30T00:00:00"/>
    <s v="No action required"/>
    <m/>
    <s v="Dubai"/>
  </r>
  <r>
    <n v="542"/>
    <s v="X23960735"/>
    <s v="The LOB"/>
    <m/>
    <s v="YaHala Exclusive"/>
    <x v="1"/>
    <s v="Sports &amp; Leisure"/>
    <m/>
    <m/>
    <s v="Multiple offers"/>
    <s v="Active"/>
    <d v="2026-06-10T00:00:00"/>
    <d v="2026-12-30T00:00:00"/>
    <d v="2026-12-30T00:00:00"/>
    <s v="No action required"/>
    <m/>
    <s v="Dubai"/>
  </r>
  <r>
    <n v="543"/>
    <s v="X23960774"/>
    <s v="S7 Padel"/>
    <s v="S7 padel"/>
    <s v="YaHala Exclusive"/>
    <x v="1"/>
    <s v="Sports &amp; Leisure"/>
    <s v="NA"/>
    <s v="NA"/>
    <s v="50-20% multiple offers"/>
    <s v="Active"/>
    <d v="2026-05-22T00:00:00"/>
    <d v="2026-12-30T00:00:00"/>
    <d v="2026-12-30T00:00:00"/>
    <s v="No action required"/>
    <m/>
    <s v="Dubai"/>
  </r>
  <r>
    <n v="544"/>
    <s v="X23961659"/>
    <s v="Chocolala"/>
    <s v="Chocolala L.L.C"/>
    <s v="YaHala Exclusive"/>
    <x v="0"/>
    <s v="Confectionary"/>
    <m/>
    <m/>
    <s v="20% Off"/>
    <s v="Active"/>
    <d v="2026-06-08T00:00:00"/>
    <d v="2026-12-30T00:00:00"/>
    <d v="2026-12-30T00:00:00"/>
    <s v="No action required"/>
    <m/>
    <s v="Dubai"/>
  </r>
  <r>
    <n v="545"/>
    <s v="X23954329"/>
    <s v="Cryo"/>
    <s v="Cryo"/>
    <s v="YaHala Exclusive"/>
    <x v="4"/>
    <s v="Health &amp; Fitness"/>
    <m/>
    <m/>
    <s v="25% Off sessions"/>
    <s v="Inactive"/>
    <s v=""/>
    <d v="2025-12-30T00:00:00"/>
    <s v="inactive"/>
    <s v="Need new contract"/>
    <m/>
    <s v=""/>
  </r>
  <r>
    <n v="546"/>
    <s v="X23962072"/>
    <s v="Sidr lab Cafe"/>
    <s v="Sidr lab Cafe"/>
    <s v="YaHala Exclusive"/>
    <x v="6"/>
    <s v="Cafe"/>
    <m/>
    <m/>
    <s v="15% Off"/>
    <s v="Active"/>
    <d v="2026-06-24T00:00:00"/>
    <d v="2026-12-30T00:00:00"/>
    <d v="2026-12-30T00:00:00"/>
    <s v="No action required"/>
    <m/>
    <s v="Dubai"/>
  </r>
  <r>
    <n v="547"/>
    <s v="X23962642"/>
    <s v="Hilton Abu Dhabi Yas Island"/>
    <s v="Hilton Hotels"/>
    <s v="YaHala Exclusive"/>
    <x v="5"/>
    <s v="Travel"/>
    <m/>
    <m/>
    <s v="Exclusive rates on stay"/>
    <s v="Active"/>
    <s v="Jul -9-2026"/>
    <d v="2027-07-09T00:00:00"/>
    <d v="2026-12-30T00:00:00"/>
    <s v="No action required"/>
    <s v="Abu Dhabi"/>
    <m/>
  </r>
  <r>
    <n v="548"/>
    <s v="X23962641"/>
    <s v="The WB Abu Dhabi, Curio Collection by Hilton"/>
    <s v="Hilton Hotels"/>
    <s v="YaHala Exclusive"/>
    <x v="5"/>
    <s v="Travel"/>
    <m/>
    <m/>
    <s v="Exclusive rates on stay"/>
    <s v="Active"/>
    <s v="Jul -9-2026"/>
    <d v="2027-07-09T00:00:00"/>
    <d v="2026-12-30T00:00:00"/>
    <s v="No action required"/>
    <s v="Abu Dhabi"/>
    <m/>
  </r>
  <r>
    <n v="549"/>
    <s v="X21144909"/>
    <s v="DoubleTree by Hilton Hotel Dubai Jumeirah Beach LLC"/>
    <s v="Hilton Hotels"/>
    <s v="YaHala Exclusive"/>
    <x v="5"/>
    <s v="Travel"/>
    <m/>
    <m/>
    <s v="Exclusive rates on stay"/>
    <s v="Active"/>
    <s v="Jul -9-2026"/>
    <d v="2027-07-09T00:00:00"/>
    <d v="2026-12-30T00:00:00"/>
    <s v="No action required"/>
    <s v="Abu Dhabi"/>
    <m/>
  </r>
  <r>
    <n v="550"/>
    <s v="X23962674"/>
    <s v="The Chancery Rosewood London"/>
    <s v="Yahala Merchants"/>
    <s v="YaHala Exclusive"/>
    <x v="5"/>
    <s v="Travel"/>
    <m/>
    <m/>
    <s v="Exclusive rates on stay"/>
    <s v="Active"/>
    <s v="Jul -9-2026"/>
    <d v="2027-07-09T00:00:00"/>
    <d v="2026-12-30T00:00:00"/>
    <s v="No action required"/>
    <s v="Abu Dhabi"/>
    <m/>
  </r>
  <r>
    <n v="551"/>
    <s v="X23962664"/>
    <s v="Jumeirah Marsa Al Arab Hotel"/>
    <s v="Yahala Merchants"/>
    <s v="YaHala Exclusive"/>
    <x v="5"/>
    <s v="Travel"/>
    <m/>
    <m/>
    <s v="Exclusive rates on stay"/>
    <s v="Active"/>
    <s v="Jul -9-2026"/>
    <d v="2027-07-09T00:00:00"/>
    <d v="2026-12-30T00:00:00"/>
    <s v="No action required"/>
    <m/>
    <s v="Dubai"/>
  </r>
  <r>
    <n v="552"/>
    <s v="X23962779"/>
    <s v="Dnata travel"/>
    <s v="Yahala merchants"/>
    <s v="YaHala Exclusive"/>
    <x v="5"/>
    <s v="Travel"/>
    <m/>
    <m/>
    <s v="Exclusive rates on stay"/>
    <s v="Active"/>
    <s v="Jul-14-2026"/>
    <d v="2027-07-14T00:00:00"/>
    <d v="2026-12-30T00:00:00"/>
    <s v="No action required"/>
    <m/>
    <s v="Dubai"/>
  </r>
  <r>
    <n v="553"/>
    <s v="X23961745"/>
    <s v="Poke &amp; Co"/>
    <s v="Poke &amp; Co"/>
    <s v="YaHala Exclusive"/>
    <x v="6"/>
    <s v="Casual dining"/>
    <m/>
    <m/>
    <s v="Bogo Offers"/>
    <s v="Active"/>
    <s v="Jun-11-2026"/>
    <d v="2026-12-30T00:00:00"/>
    <d v="2026-12-30T00:00:00"/>
    <s v="No action required"/>
    <m/>
    <s v="Dubai"/>
  </r>
  <r>
    <n v="554"/>
    <s v="X23961660"/>
    <s v="Chocolala - Abu Dhabi"/>
    <s v="Chocolala"/>
    <s v="YaHala Exclusive"/>
    <x v="0"/>
    <s v="Confectionery"/>
    <m/>
    <m/>
    <s v="20% Off"/>
    <s v="Active"/>
    <s v="Jun-6-2026"/>
    <d v="2026-12-30T00:00:00"/>
    <d v="2026-12-30T00:00:00"/>
    <s v="No action required"/>
    <s v="Abu Dhabi"/>
    <m/>
  </r>
  <r>
    <n v="555"/>
    <s v="X23938142"/>
    <s v="Karl Lagerfeld"/>
    <s v="Allied Enterprise"/>
    <s v="YaHala Exclusive"/>
    <x v="0"/>
    <s v="Fashion"/>
    <m/>
    <m/>
    <s v="10% Off"/>
    <s v="Active"/>
    <m/>
    <d v="2026-12-30T00:00:00"/>
    <d v="2026-12-30T00:00:00"/>
    <s v="No action required"/>
    <s v="Abu Dhabi"/>
    <m/>
  </r>
  <r>
    <n v="556"/>
    <s v="X23938199"/>
    <s v="BACCARAT"/>
    <s v="Allied Enterprise"/>
    <s v="YaHala Exclusive"/>
    <x v="0"/>
    <s v="Fashion"/>
    <m/>
    <m/>
    <s v="10% Off"/>
    <s v="Inactive"/>
    <m/>
    <d v="2026-06-09T00:00:00"/>
    <s v="deactivate"/>
    <s v="No action required"/>
    <s v="Abu Dhabi"/>
    <m/>
  </r>
  <r>
    <n v="557"/>
    <s v="X23938200"/>
    <s v="CHRISTOFLE"/>
    <s v="Allied Enterprise"/>
    <s v="YaHala Exclusive"/>
    <x v="0"/>
    <s v="Fashion"/>
    <m/>
    <m/>
    <s v="10% Off"/>
    <s v="Inactive"/>
    <m/>
    <d v="2026-06-09T00:00:00"/>
    <s v="deactivate"/>
    <s v="No action required"/>
    <s v="Abu Dhabi"/>
    <m/>
  </r>
  <r>
    <n v="558"/>
    <s v="X23938189"/>
    <s v="Faces"/>
    <s v="Allied Enterprise"/>
    <s v="YaHala Exclusive"/>
    <x v="0"/>
    <s v="Fashion"/>
    <m/>
    <m/>
    <s v="10% Off"/>
    <s v="Active"/>
    <m/>
    <d v="2026-12-30T00:00:00"/>
    <d v="2026-12-30T00:00:00"/>
    <s v="No action required"/>
    <s v="Abu Dhabi"/>
    <m/>
  </r>
  <r>
    <n v="559"/>
    <s v="X23938188"/>
    <s v="GUESS"/>
    <s v="Allied Enterprise"/>
    <s v="YaHala Exclusive"/>
    <x v="0"/>
    <s v="Fashion"/>
    <m/>
    <m/>
    <s v="10% Off"/>
    <s v="Active"/>
    <m/>
    <d v="2026-12-30T00:00:00"/>
    <d v="2026-12-30T00:00:00"/>
    <s v="No action required"/>
    <s v="Abu Dhabi"/>
    <m/>
  </r>
  <r>
    <n v="560"/>
    <s v="X23959683"/>
    <s v="Parkers"/>
    <s v="independent management group"/>
    <s v="YaHala Exclusive"/>
    <x v="2"/>
    <s v="Casual dining"/>
    <m/>
    <m/>
    <s v="15% Off"/>
    <s v="Active"/>
    <d v="2026-04-10T00:00:00"/>
    <d v="2027-04-10T00:00:00"/>
    <d v="2026-12-30T00:00:00"/>
    <s v="Auto renewal"/>
    <s v="Abu Dhabi"/>
    <m/>
  </r>
  <r>
    <n v="561"/>
    <s v="X23959694"/>
    <s v="Public"/>
    <s v="independent management group"/>
    <s v="YaHala Exclusive"/>
    <x v="2"/>
    <s v="Casual dining"/>
    <m/>
    <m/>
    <s v="15% Off"/>
    <s v="Active"/>
    <s v="Apr-8-2026"/>
    <d v="2027-04-10T00:00:00"/>
    <d v="2026-12-30T00:00:00"/>
    <s v="Auto renewal"/>
    <s v="Abu Dhabi"/>
    <m/>
  </r>
  <r>
    <n v="562"/>
    <s v="X23959689"/>
    <s v="Somewhere"/>
    <s v="independent management group"/>
    <s v="YaHala Exclusive"/>
    <x v="2"/>
    <s v="Casual dining"/>
    <m/>
    <m/>
    <s v="15% Off"/>
    <s v="Active"/>
    <s v="Apr-8-2026"/>
    <d v="2027-04-10T00:00:00"/>
    <d v="2026-12-30T00:00:00"/>
    <s v="Auto renewal"/>
    <s v="Abu Dhabi"/>
    <m/>
  </r>
  <r>
    <n v="563"/>
    <s v="X23959679"/>
    <s v="Salt"/>
    <s v="independent management group"/>
    <s v="YaHala Exclusive"/>
    <x v="2"/>
    <s v="Casual dining"/>
    <m/>
    <m/>
    <s v="15% Off"/>
    <s v="Active"/>
    <s v="Apr-8-2026"/>
    <d v="2027-04-10T00:00:00"/>
    <d v="2026-12-30T00:00:00"/>
    <s v="Auto renewal"/>
    <s v="Abu Dhabi"/>
    <m/>
  </r>
  <r>
    <n v="564"/>
    <s v="X23958843"/>
    <s v="Ebarza"/>
    <s v="Ebarza Trading"/>
    <s v="YaHala Exclusive"/>
    <x v="0"/>
    <s v="Furniture"/>
    <m/>
    <m/>
    <s v="10% -15%-20%-5%"/>
    <s v="Active"/>
    <d v="2026-02-26T00:00:00"/>
    <d v="2026-12-30T00:00:00"/>
    <d v="2026-12-30T00:00:00"/>
    <s v="Auto renewal"/>
    <m/>
    <s v="Dubai"/>
  </r>
  <r>
    <n v="565"/>
    <s v="X23953648"/>
    <s v="Noon one "/>
    <s v="Noon Group"/>
    <s v="YaHala Exclusive"/>
    <x v="0"/>
    <s v="Grocery &amp; Off-Licence"/>
    <s v="noon"/>
    <s v="Use Code YAHALAPMO"/>
    <s v="10%-15%"/>
    <s v="Active"/>
    <d v="2025-12-05T00:00:00"/>
    <d v="2026-12-31T00:00:00"/>
    <d v="2026-12-30T00:00:00"/>
    <s v="Auto renewal"/>
    <m/>
    <s v="Dubai"/>
  </r>
  <r>
    <n v="566"/>
    <s v="X23953435"/>
    <s v="Noon super mall"/>
    <s v="Noon Group"/>
    <s v="YaHala Exclusive"/>
    <x v="0"/>
    <s v="Grocery &amp; Off-Licence"/>
    <s v="noon"/>
    <s v="Use Code YAHALAPMO"/>
    <s v="10%-15%"/>
    <s v="Active"/>
    <d v="2025-12-03T00:00:00"/>
    <d v="2026-12-31T00:00:00"/>
    <d v="2026-12-30T00:00:00"/>
    <s v="Auto renewal"/>
    <s v="Abu Dhabi"/>
    <m/>
  </r>
  <r>
    <n v="567"/>
    <s v="X23953433"/>
    <s v="Noon Food"/>
    <s v="Noon Group"/>
    <s v="YaHala Exclusive"/>
    <x v="0"/>
    <s v="Grocery &amp; Off-Licence"/>
    <s v="noon"/>
    <s v="Use Code YAHALAPMO"/>
    <s v="10%-15%"/>
    <s v="Active"/>
    <d v="2025-12-03T00:00:00"/>
    <d v="2026-12-31T00:00:00"/>
    <d v="2026-12-30T00:00:00"/>
    <s v="Auto renewal"/>
    <s v="Abu Dhabi"/>
    <m/>
  </r>
  <r>
    <n v="568"/>
    <s v="X23950055"/>
    <s v="Ghawali"/>
    <s v="Allied Enterprise"/>
    <s v="YaHala Exclusive"/>
    <x v="0"/>
    <s v="Fashion"/>
    <m/>
    <m/>
    <m/>
    <s v="Active"/>
    <s v="Dec-5-2025"/>
    <m/>
    <m/>
    <m/>
    <m/>
    <s v="Dubai"/>
  </r>
  <r>
    <n v="569"/>
    <s v="X23947492"/>
    <s v="Low Calories"/>
    <s v="Low Calories restaurants"/>
    <s v="YaHala Exclusive"/>
    <x v="2"/>
    <s v="informal dining &amp; Takeaway"/>
    <s v="http://uae.thelowcalories.com/"/>
    <s v="YAHALALC"/>
    <m/>
    <s v="Active"/>
    <d v="2025-12-03T00:00:00"/>
    <d v="2026-12-30T00:00:00"/>
    <d v="2026-12-30T00:00:00"/>
    <s v="Auto renewal"/>
    <s v="Abu Dhabi"/>
    <m/>
  </r>
  <r>
    <n v="570"/>
    <s v="X23942246"/>
    <s v="1847 Salons"/>
    <s v="1847 Salons"/>
    <s v="YaHala Exclusive"/>
    <x v="4"/>
    <s v="Men's grooming"/>
    <m/>
    <m/>
    <s v="15% Off"/>
    <s v="Active"/>
    <d v="2025-12-03T00:00:00"/>
    <d v="2026-12-30T00:00:00"/>
    <d v="2026-12-30T00:00:00"/>
    <s v="Auto renewal"/>
    <s v="Abu Dhabi"/>
    <m/>
  </r>
  <r>
    <n v="571"/>
    <s v="X23938375"/>
    <s v="VILLARI"/>
    <s v="Allied Enterprise"/>
    <s v="YaHala Exclusive"/>
    <x v="0"/>
    <s v="Fashion"/>
    <m/>
    <m/>
    <s v="10% Off"/>
    <s v="Inactive"/>
    <d v="2025-12-03T00:00:00"/>
    <d v="2026-06-09T00:00:00"/>
    <s v="Deactive"/>
    <s v="Autorenewal"/>
    <s v="Abu Dhabi"/>
    <m/>
  </r>
  <r>
    <n v="572"/>
    <s v="X23938236"/>
    <s v="FREDERIC MALLE"/>
    <s v="Allied Enterprise"/>
    <s v="YaHala Exclusive"/>
    <x v="0"/>
    <s v="Fashion"/>
    <m/>
    <m/>
    <s v="10% Off "/>
    <s v="Active"/>
    <d v="2025-12-03T00:00:00"/>
    <d v="2026-12-30T00:00:00"/>
    <d v="2026-12-30T00:00:00"/>
    <s v="Auto renewal"/>
    <s v="Abu Dhabi"/>
    <m/>
  </r>
  <r>
    <n v="573"/>
    <s v="X23938210"/>
    <s v="KILIAN"/>
    <s v="Allied Enterprise"/>
    <s v="YaHala Exclusive"/>
    <x v="0"/>
    <s v="Fashion"/>
    <m/>
    <m/>
    <s v="10% Off "/>
    <s v="Active"/>
    <s v="Dec-5-2025"/>
    <d v="2026-12-30T00:00:00"/>
    <d v="2026-12-30T00:00:00"/>
    <s v="Auto renewal"/>
    <s v="Abu Dhabi"/>
    <m/>
  </r>
  <r>
    <n v="574"/>
    <s v="X23938198"/>
    <s v="NARS"/>
    <s v="Allied Enterprise"/>
    <s v="YaHala Exclusive"/>
    <x v="0"/>
    <s v="Fashion"/>
    <m/>
    <m/>
    <s v="10% Off"/>
    <s v="Active"/>
    <d v="2025-12-03T00:00:00"/>
    <d v="2026-12-30T00:00:00"/>
    <d v="2026-12-30T00:00:00"/>
    <s v="Auto renewal"/>
    <s v="Abu Dhabi"/>
    <m/>
  </r>
  <r>
    <n v="575"/>
    <s v="X23938182"/>
    <s v="Michael Kors"/>
    <s v="Allied Enterprise"/>
    <s v="YaHala Exclusive"/>
    <x v="0"/>
    <s v="Fashion"/>
    <m/>
    <m/>
    <s v="10% Off"/>
    <s v="Active"/>
    <d v="2025-12-03T00:00:00"/>
    <d v="2026-12-30T00:00:00"/>
    <d v="2026-12-30T00:00:00"/>
    <s v="Auto renewal"/>
    <s v="Abu Dhabi"/>
    <m/>
  </r>
  <r>
    <n v="576"/>
    <s v="X23938191"/>
    <s v="Tyran"/>
    <s v="Allied Enterprise"/>
    <s v="YaHala Exclusive"/>
    <x v="0"/>
    <s v="Fashion"/>
    <m/>
    <m/>
    <s v="10% Off"/>
    <s v="Active"/>
    <d v="2025-12-03T00:00:00"/>
    <d v="2026-12-30T00:00:00"/>
    <d v="2026-12-30T00:00:00"/>
    <s v="Auto renewal"/>
    <s v="Abu Dhabi"/>
    <m/>
  </r>
  <r>
    <n v="577"/>
    <s v="X23938186"/>
    <s v="Lacoste"/>
    <s v="Allied Enterprise"/>
    <s v="YaHala Exclusive"/>
    <x v="0"/>
    <s v="Fashion"/>
    <m/>
    <m/>
    <s v="10% Off"/>
    <s v="Active"/>
    <d v="2025-12-03T00:00:00"/>
    <d v="2026-12-30T00:00:00"/>
    <d v="2026-12-30T00:00:00"/>
    <s v="Auto renewal"/>
    <s v="Abu Dhabi"/>
    <m/>
  </r>
  <r>
    <n v="578"/>
    <s v="X23938139"/>
    <s v="Vercase"/>
    <s v="Allied Enterprise"/>
    <s v="YaHala Exclusive"/>
    <x v="0"/>
    <s v="Fashion"/>
    <m/>
    <m/>
    <s v="10% Off"/>
    <s v="Active"/>
    <d v="2025-12-03T00:00:00"/>
    <d v="2026-12-30T00:00:00"/>
    <d v="2026-12-30T00:00:00"/>
    <s v="Auto renewal"/>
    <s v="Abu Dhabi"/>
    <m/>
  </r>
  <r>
    <n v="579"/>
    <s v="X23938237"/>
    <s v="Bobbie Brown"/>
    <s v="Allied Enterprise"/>
    <s v="YaHala Exclusive"/>
    <x v="0"/>
    <s v="Fashion"/>
    <m/>
    <m/>
    <s v="15%Off"/>
    <s v="Active"/>
    <d v="2025-12-03T00:00:00"/>
    <d v="2026-12-30T00:00:00"/>
    <d v="2026-12-30T00:00:00"/>
    <s v="Auto renewal"/>
    <s v="Abu Dhabi"/>
    <m/>
  </r>
  <r>
    <n v="580"/>
    <s v="X23938193"/>
    <s v="Molton Brown"/>
    <s v="Allied Enterprise"/>
    <s v="YaHala Exclusive"/>
    <x v="0"/>
    <s v="Fashion"/>
    <m/>
    <m/>
    <s v="15%Off"/>
    <s v="Active"/>
    <d v="2025-12-03T00:00:00"/>
    <d v="2026-12-30T00:00:00"/>
    <d v="2026-12-30T00:00:00"/>
    <s v="Auto renewal"/>
    <s v="Abu Dhabi"/>
    <m/>
  </r>
  <r>
    <n v="581"/>
    <s v="X23938135"/>
    <s v="YSL"/>
    <s v="SAJ"/>
    <s v="YaHala Exclusive"/>
    <x v="0"/>
    <s v="Fashion"/>
    <m/>
    <m/>
    <s v="15%Off"/>
    <s v="Active"/>
    <d v="2025-12-03T00:00:00"/>
    <d v="2026-12-30T00:00:00"/>
    <d v="2026-12-30T00:00:00"/>
    <s v="Auto renewal"/>
    <s v="Abu Dhabi"/>
    <m/>
  </r>
  <r>
    <n v="582"/>
    <s v="X23938136"/>
    <s v="Giorgio Armani"/>
    <s v="SAJ"/>
    <s v="YaHala Exclusive"/>
    <x v="0"/>
    <s v="Fashion"/>
    <m/>
    <m/>
    <s v="15%Off"/>
    <s v="Active"/>
    <d v="2025-12-03T00:00:00"/>
    <d v="2026-12-30T00:00:00"/>
    <d v="2026-12-30T00:00:00"/>
    <s v="Auto renewal"/>
    <s v="Abu Dhabi"/>
    <m/>
  </r>
  <r>
    <n v="583"/>
    <s v="X23938239"/>
    <s v="Kids Around"/>
    <s v="Allied Enterprise"/>
    <s v="YaHala Exclusive"/>
    <x v="0"/>
    <s v="Fashion"/>
    <m/>
    <m/>
    <s v="10% Off"/>
    <s v="Active"/>
    <d v="2025-12-03T00:00:00"/>
    <d v="2026-12-30T00:00:00"/>
    <d v="2026-12-30T00:00:00"/>
    <s v="Auto renewal"/>
    <s v="Abu Dhabi"/>
    <m/>
  </r>
  <r>
    <n v="584"/>
    <s v="X23938142"/>
    <s v="Karl Lagerfeld"/>
    <s v="Allied Enterprise"/>
    <s v="YaHala Exclusive"/>
    <x v="0"/>
    <s v="Fashion"/>
    <m/>
    <m/>
    <s v="10% Off"/>
    <s v="Active"/>
    <s v="Dec-5-2025"/>
    <d v="2026-12-30T00:00:00"/>
    <d v="2026-12-30T00:00:00"/>
    <s v="Auto renewal"/>
    <s v="Abu Dhabi"/>
    <m/>
  </r>
  <r>
    <n v="586"/>
    <s v="X23938183"/>
    <s v="Rene Caovilla"/>
    <s v="Allied Enterprise"/>
    <s v="YaHala Exclusive"/>
    <x v="0"/>
    <s v="Fashion"/>
    <m/>
    <m/>
    <s v="10% Off"/>
    <s v="Active"/>
    <d v="2025-12-03T00:00:00"/>
    <d v="2026-12-30T00:00:00"/>
    <d v="2026-12-30T00:00:00"/>
    <s v="Auto renewal"/>
    <s v="Abu Dhab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66017-A771-4B59-94D9-80F01180299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showAll="0"/>
    <pivotField showAll="0"/>
    <pivotField showAll="0"/>
    <pivotField showAll="0"/>
    <pivotField showAll="0"/>
    <pivotField axis="axisRow" dataField="1" showAll="0">
      <items count="8">
        <item x="1"/>
        <item x="4"/>
        <item x="3"/>
        <item x="0"/>
        <item x="6"/>
        <item x="2"/>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Count of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77813-E425-4F31-8A56-8E0561C5068A}" name="Table1" displayName="Table1" ref="A1:Q578" totalsRowShown="0" headerRowDxfId="90" dataDxfId="89">
  <autoFilter ref="A1:Q578" xr:uid="{9A40D9DF-2ADD-4978-96CA-15269033EBE0}"/>
  <tableColumns count="17">
    <tableColumn id="1" xr3:uid="{25DF27CC-F0E9-4D1F-9387-14178790BC81}" name="#" dataDxfId="88"/>
    <tableColumn id="2" xr3:uid="{D27AB9F0-48A2-4E04-82F1-689AB93AC2B6}" name="Merchant ID" dataDxfId="87"/>
    <tableColumn id="3" xr3:uid="{6D40C054-10C5-455E-B600-F50CA256D9AB}" name="Merchant Name" dataDxfId="86"/>
    <tableColumn id="4" xr3:uid="{EB0142B7-E41D-4B49-AB79-B38D6856A57B}" name="Group Name" dataDxfId="85"/>
    <tableColumn id="5" xr3:uid="{90F38910-4722-4D3C-8831-322BA9AEBF60}" name="Source" dataDxfId="84"/>
    <tableColumn id="6" xr3:uid="{B086FF20-8558-4D4D-A329-7A62482561C0}" name="Category" dataDxfId="83"/>
    <tableColumn id="7" xr3:uid="{4C601E4A-65A5-4F7F-B17A-16FC85041912}" name="Sub Category" dataDxfId="82"/>
    <tableColumn id="8" xr3:uid="{F7C89F8F-2FE5-441C-B35F-08C557E366E2}" name="Website" dataDxfId="81"/>
    <tableColumn id="9" xr3:uid="{A982C161-8BF8-4E41-B2B6-D519A45DAF3A}" name="Promocodes" dataDxfId="80"/>
    <tableColumn id="10" xr3:uid="{37EFB9C0-68F6-4C18-8BAE-BF81B7EE6424}" name="Type of offer" dataDxfId="79"/>
    <tableColumn id="12" xr3:uid="{8691E6EA-834B-40AD-B2DA-6FFE0B4B26E4}" name="Reflect Status" dataDxfId="78"/>
    <tableColumn id="13" xr3:uid="{6C4B5809-A32A-45BE-AF58-0C60DB3AA4CF}" name="Creation Date" dataDxfId="77"/>
    <tableColumn id="14" xr3:uid="{B537B8E7-4050-4270-A496-621AE5EE7D21}" name="Expiry Date" dataDxfId="76"/>
    <tableColumn id="15" xr3:uid="{84D6872F-F67C-4190-8463-241D6959ECBD}" name="Validity in the app" dataDxfId="75"/>
    <tableColumn id="17" xr3:uid="{B8552594-3DFD-48C7-A591-98BBBE120B38}" name="Remarks" dataDxfId="74"/>
    <tableColumn id="21" xr3:uid="{FF42BFB8-3121-4EF6-B5A0-AD2B6761F6BC}" name="Abu Dhabi" dataDxfId="73"/>
    <tableColumn id="20" xr3:uid="{ECFE4FAA-B3CC-46C7-BE49-51CAB644DB88}" name="Dubai" dataDxfId="7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urldefense.com/v3/__https:/www.pharmacy.maisonsante.ae/__;!!AS8dsWVf!MHq8d5EOfAMNQsoK4R11qu6iciEF0y1OR1klg-Wfju3oE4fFAssqOIv8ie9GI5H0cqdyDu-C9SlU3ziQAF_DvPG0ees$" TargetMode="External"/><Relationship Id="rId13" Type="http://schemas.openxmlformats.org/officeDocument/2006/relationships/hyperlink" Target="http://uae.thelowcalories.com/" TargetMode="External"/><Relationship Id="rId3" Type="http://schemas.openxmlformats.org/officeDocument/2006/relationships/hyperlink" Target="https://www.sensesevendelicacies.com/" TargetMode="External"/><Relationship Id="rId7" Type="http://schemas.openxmlformats.org/officeDocument/2006/relationships/hyperlink" Target="http://uae.thelowcalories.com/" TargetMode="External"/><Relationship Id="rId12" Type="http://schemas.openxmlformats.org/officeDocument/2006/relationships/hyperlink" Target="https://www.bing.com/search?qs=LT&amp;pq=la+perle&amp;sk=CSYN1LT1UT1&amp;sc=15-8&amp;q=la+perle+show+dubai&amp;cvid=a47272681e6d4709b538468c2973d3bf&amp;gs_lcrp=EgRlZGdlKgYIAhAAGEAyBggAEEUYOTIGCAEQABhAMgYIAhAAGEAyBggDEAAYQDIGCAQQABhAMgYIBRAAGEAyBggGEAAYQDIGCAcQABhAMgYICBBFGD0yCA" TargetMode="External"/><Relationship Id="rId2" Type="http://schemas.openxmlformats.org/officeDocument/2006/relationships/hyperlink" Target="https://www.algurgstationery.com/" TargetMode="External"/><Relationship Id="rId1" Type="http://schemas.openxmlformats.org/officeDocument/2006/relationships/hyperlink" Target="https://www.namshi.com/uae-en/" TargetMode="External"/><Relationship Id="rId6" Type="http://schemas.openxmlformats.org/officeDocument/2006/relationships/hyperlink" Target="https://kcallife.com/" TargetMode="External"/><Relationship Id="rId11" Type="http://schemas.openxmlformats.org/officeDocument/2006/relationships/hyperlink" Target="https://www.europcar.com/en-us?utm_source=bing&amp;utm_source_platform=SA360&amp;utm_medium=cpc&amp;utm_campaign=%5BBIN%5D-%5BENG%5D-%5BCar%5D-%5BSource_Africa%5D-%5BDestination_ROW%5D-%5Beuropcar.com%5D-%5BBrand_Core%5D-%5BPFX%5D&amp;utm_id=9516602068&amp;utm_content=965234" TargetMode="External"/><Relationship Id="rId5" Type="http://schemas.openxmlformats.org/officeDocument/2006/relationships/hyperlink" Target="https://urldefense.com/v3/__https:/healthykitchen.delivery/__;!!AS8dsWVf!MHq8d5EOfAMNQsoK4R11qu6iciEF0y1OR1klg-Wfju3oE4fFAssqOIv8ie9GI5H0cqdyDu-C9SlU3ziQAF_DD5X54KQ$" TargetMode="External"/><Relationship Id="rId10" Type="http://schemas.openxmlformats.org/officeDocument/2006/relationships/hyperlink" Target="https://www.sixt.com.eg/?sxamc=Bing%7CSearch&amp;fir=1&amp;utm_campaignid=283526071&amp;utm_adgroupid=1243548039245969&amp;msclkid=07b022526d09109dbd3e4bc7ebf547f0&amp;utm_source=bing&amp;utm_medium=cpc&amp;utm_campaign=EG%20-%20DE_rent_Outbound_BRAND_(ENG)&amp;utm_term=%2Bsixt%20%2Bcar" TargetMode="External"/><Relationship Id="rId4" Type="http://schemas.openxmlformats.org/officeDocument/2006/relationships/hyperlink" Target="https://www.honor.com/ae-en/shop/offer/" TargetMode="External"/><Relationship Id="rId9" Type="http://schemas.openxmlformats.org/officeDocument/2006/relationships/hyperlink" Target="http://www.juve.ae/"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6E7E-BA7C-4AB1-8D9F-A3873B807623}">
  <dimension ref="A3:B11"/>
  <sheetViews>
    <sheetView workbookViewId="0">
      <selection activeCell="A8" sqref="A8"/>
    </sheetView>
  </sheetViews>
  <sheetFormatPr defaultRowHeight="15"/>
  <cols>
    <col min="1" max="1" width="18.42578125" bestFit="1" customWidth="1"/>
    <col min="2" max="2" width="17" bestFit="1" customWidth="1"/>
  </cols>
  <sheetData>
    <row r="3" spans="1:2">
      <c r="A3" s="105" t="s">
        <v>1474</v>
      </c>
      <c r="B3" t="s">
        <v>1476</v>
      </c>
    </row>
    <row r="4" spans="1:2">
      <c r="A4" s="106" t="s">
        <v>144</v>
      </c>
      <c r="B4" s="107">
        <v>39</v>
      </c>
    </row>
    <row r="5" spans="1:2">
      <c r="A5" s="106" t="s">
        <v>47</v>
      </c>
      <c r="B5" s="107">
        <v>49</v>
      </c>
    </row>
    <row r="6" spans="1:2">
      <c r="A6" s="106" t="s">
        <v>272</v>
      </c>
      <c r="B6" s="107">
        <v>24</v>
      </c>
    </row>
    <row r="7" spans="1:2">
      <c r="A7" s="106" t="s">
        <v>5</v>
      </c>
      <c r="B7" s="107">
        <v>174</v>
      </c>
    </row>
    <row r="8" spans="1:2">
      <c r="A8" s="106" t="s">
        <v>106</v>
      </c>
      <c r="B8" s="107">
        <v>2</v>
      </c>
    </row>
    <row r="9" spans="1:2">
      <c r="A9" s="106" t="s">
        <v>53</v>
      </c>
      <c r="B9" s="107">
        <v>152</v>
      </c>
    </row>
    <row r="10" spans="1:2">
      <c r="A10" s="106" t="s">
        <v>112</v>
      </c>
      <c r="B10" s="107">
        <v>137</v>
      </c>
    </row>
    <row r="11" spans="1:2">
      <c r="A11" s="106" t="s">
        <v>1475</v>
      </c>
      <c r="B11" s="107">
        <v>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C0CD3-CD4E-45B1-BEDF-4D87618D74EE}">
  <dimension ref="A1:S578"/>
  <sheetViews>
    <sheetView tabSelected="1" zoomScaleNormal="100" workbookViewId="0">
      <selection activeCell="D15" sqref="D15"/>
    </sheetView>
  </sheetViews>
  <sheetFormatPr defaultColWidth="8.7109375" defaultRowHeight="15"/>
  <cols>
    <col min="1" max="1" width="6.28515625" style="1" customWidth="1"/>
    <col min="2" max="2" width="15.7109375" style="5" bestFit="1" customWidth="1"/>
    <col min="3" max="3" width="43.85546875" style="4" bestFit="1" customWidth="1"/>
    <col min="4" max="4" width="37.7109375" style="4" bestFit="1" customWidth="1"/>
    <col min="5" max="5" width="14.7109375" style="2" customWidth="1"/>
    <col min="6" max="6" width="15" style="4" bestFit="1" customWidth="1"/>
    <col min="7" max="7" width="21.42578125" style="3" bestFit="1" customWidth="1"/>
    <col min="8" max="8" width="15.140625" style="2" customWidth="1"/>
    <col min="9" max="9" width="11.7109375" style="2" customWidth="1"/>
    <col min="10" max="10" width="29.42578125" style="2" customWidth="1"/>
    <col min="11" max="11" width="17" style="2" customWidth="1"/>
    <col min="12" max="12" width="14.140625" style="2" bestFit="1" customWidth="1"/>
    <col min="13" max="13" width="13.5703125" style="2" customWidth="1"/>
    <col min="14" max="14" width="18.5703125" style="2" customWidth="1"/>
    <col min="15" max="15" width="24.5703125" style="2" customWidth="1"/>
    <col min="16" max="17" width="25.5703125" style="2" customWidth="1"/>
    <col min="18" max="18" width="15.42578125" style="2" customWidth="1"/>
    <col min="19" max="19" width="8.7109375" style="2"/>
    <col min="20" max="16384" width="8.7109375" style="1"/>
  </cols>
  <sheetData>
    <row r="1" spans="1:19" ht="30" customHeight="1">
      <c r="A1" s="74" t="s">
        <v>1473</v>
      </c>
      <c r="B1" s="73" t="s">
        <v>1472</v>
      </c>
      <c r="C1" s="70" t="s">
        <v>1471</v>
      </c>
      <c r="D1" s="70" t="s">
        <v>1470</v>
      </c>
      <c r="E1" s="70" t="s">
        <v>1469</v>
      </c>
      <c r="F1" s="70" t="s">
        <v>1468</v>
      </c>
      <c r="G1" s="70" t="s">
        <v>1467</v>
      </c>
      <c r="H1" s="72" t="s">
        <v>1466</v>
      </c>
      <c r="I1" s="70" t="s">
        <v>1465</v>
      </c>
      <c r="J1" s="70" t="s">
        <v>1464</v>
      </c>
      <c r="K1" s="71" t="s">
        <v>1463</v>
      </c>
      <c r="L1" s="70" t="s">
        <v>1462</v>
      </c>
      <c r="M1" s="70" t="s">
        <v>1461</v>
      </c>
      <c r="N1" s="70" t="s">
        <v>1460</v>
      </c>
      <c r="O1" s="70" t="s">
        <v>1459</v>
      </c>
      <c r="P1" s="70" t="s">
        <v>0</v>
      </c>
      <c r="Q1" s="70" t="s">
        <v>57</v>
      </c>
      <c r="R1" s="69" t="s">
        <v>1458</v>
      </c>
      <c r="S1" s="69" t="s">
        <v>1457</v>
      </c>
    </row>
    <row r="2" spans="1:19" ht="15.75" customHeight="1">
      <c r="A2" s="75">
        <v>1</v>
      </c>
      <c r="B2" s="76" t="s">
        <v>1456</v>
      </c>
      <c r="C2" s="77" t="s">
        <v>1455</v>
      </c>
      <c r="D2" s="77" t="s">
        <v>1102</v>
      </c>
      <c r="E2" s="78" t="s">
        <v>6</v>
      </c>
      <c r="F2" s="77" t="s">
        <v>5</v>
      </c>
      <c r="G2" s="79" t="s">
        <v>4</v>
      </c>
      <c r="H2" s="78"/>
      <c r="I2" s="78"/>
      <c r="J2" s="80" t="s">
        <v>3</v>
      </c>
      <c r="K2" s="81" t="s">
        <v>2</v>
      </c>
      <c r="L2" s="82">
        <f>IFERROR(VLOOKUP($B2,[1]Sheet2!$A:$L,11,FALSE()),"")</f>
        <v>45994</v>
      </c>
      <c r="M2" s="83">
        <v>46386</v>
      </c>
      <c r="N2" s="84">
        <v>46386</v>
      </c>
      <c r="O2" s="78" t="s">
        <v>1</v>
      </c>
      <c r="P2" s="78"/>
      <c r="Q2" s="78" t="str">
        <f>IFERROR(VLOOKUP($B2,[1]Sheet2!$A:$L,12,FALSE()),"")</f>
        <v>Dubai</v>
      </c>
      <c r="R2" s="85">
        <f t="shared" ref="R2:R65" ca="1" si="0">IF(ISNUMBER(M2),INT(M2)-INT(TODAY()),"")</f>
        <v>139</v>
      </c>
      <c r="S2" s="86" t="str">
        <f t="shared" ref="S2:S65" ca="1" si="1">IF(R2="","—",IF(R2&lt;0,"EXPIRED",IF(R2&lt;=30,"⚠ EXPIRES SOON",IF(R2&lt;=90,"⚡ 90 Days","✓ OK"))))</f>
        <v>✓ OK</v>
      </c>
    </row>
    <row r="3" spans="1:19" ht="15.75" customHeight="1">
      <c r="A3" s="75">
        <v>2</v>
      </c>
      <c r="B3" s="76" t="s">
        <v>1454</v>
      </c>
      <c r="C3" s="77" t="s">
        <v>1453</v>
      </c>
      <c r="D3" s="77" t="s">
        <v>1102</v>
      </c>
      <c r="E3" s="78" t="s">
        <v>6</v>
      </c>
      <c r="F3" s="77" t="s">
        <v>5</v>
      </c>
      <c r="G3" s="79" t="s">
        <v>4</v>
      </c>
      <c r="H3" s="78"/>
      <c r="I3" s="78"/>
      <c r="J3" s="80" t="s">
        <v>3</v>
      </c>
      <c r="K3" s="81" t="s">
        <v>2</v>
      </c>
      <c r="L3" s="82">
        <f>IFERROR(VLOOKUP($B3,[1]Sheet2!$A:$L,11,FALSE()),"")</f>
        <v>45993</v>
      </c>
      <c r="M3" s="83">
        <v>46386</v>
      </c>
      <c r="N3" s="84">
        <v>46386</v>
      </c>
      <c r="O3" s="78" t="s">
        <v>1</v>
      </c>
      <c r="P3" s="78"/>
      <c r="Q3" s="78" t="str">
        <f>IFERROR(VLOOKUP($B3,[1]Sheet2!$A:$L,12,FALSE()),"")</f>
        <v>Dubai</v>
      </c>
      <c r="R3" s="85">
        <f t="shared" ca="1" si="0"/>
        <v>139</v>
      </c>
      <c r="S3" s="86" t="str">
        <f t="shared" ca="1" si="1"/>
        <v>✓ OK</v>
      </c>
    </row>
    <row r="4" spans="1:19" ht="15.75" customHeight="1">
      <c r="A4" s="75">
        <v>3</v>
      </c>
      <c r="B4" s="76" t="s">
        <v>1452</v>
      </c>
      <c r="C4" s="77" t="s">
        <v>1451</v>
      </c>
      <c r="D4" s="77" t="s">
        <v>1451</v>
      </c>
      <c r="E4" s="78" t="s">
        <v>6</v>
      </c>
      <c r="F4" s="77" t="s">
        <v>5</v>
      </c>
      <c r="G4" s="79" t="s">
        <v>1315</v>
      </c>
      <c r="H4" s="78"/>
      <c r="I4" s="78"/>
      <c r="J4" s="80" t="s">
        <v>99</v>
      </c>
      <c r="K4" s="81" t="s">
        <v>2</v>
      </c>
      <c r="L4" s="82">
        <f>IFERROR(VLOOKUP($B4,[1]Sheet2!$A:$L,11,FALSE()),"")</f>
        <v>46034</v>
      </c>
      <c r="M4" s="83">
        <v>46722</v>
      </c>
      <c r="N4" s="84">
        <v>46386</v>
      </c>
      <c r="O4" s="78"/>
      <c r="P4" s="78"/>
      <c r="Q4" s="78" t="str">
        <f>IFERROR(VLOOKUP($B4,[1]Sheet2!$A:$L,12,FALSE()),"")</f>
        <v>Dubai</v>
      </c>
      <c r="R4" s="85">
        <f t="shared" ca="1" si="0"/>
        <v>475</v>
      </c>
      <c r="S4" s="86" t="str">
        <f t="shared" ca="1" si="1"/>
        <v>✓ OK</v>
      </c>
    </row>
    <row r="5" spans="1:19" s="68" customFormat="1" ht="15.75" customHeight="1">
      <c r="A5" s="75">
        <v>4</v>
      </c>
      <c r="B5" s="76" t="s">
        <v>1450</v>
      </c>
      <c r="C5" s="77" t="s">
        <v>1449</v>
      </c>
      <c r="D5" s="77" t="s">
        <v>1448</v>
      </c>
      <c r="E5" s="78" t="s">
        <v>6</v>
      </c>
      <c r="F5" s="77" t="s">
        <v>5</v>
      </c>
      <c r="G5" s="79" t="s">
        <v>1138</v>
      </c>
      <c r="H5" s="78" t="s">
        <v>1447</v>
      </c>
      <c r="I5" s="78" t="s">
        <v>1446</v>
      </c>
      <c r="J5" s="80" t="s">
        <v>680</v>
      </c>
      <c r="K5" s="81" t="s">
        <v>42</v>
      </c>
      <c r="L5" s="82">
        <f>IFERROR(VLOOKUP($B5,[1]Sheet2!$A:$L,11,FALSE()),"")</f>
        <v>45063</v>
      </c>
      <c r="M5" s="83">
        <v>46141</v>
      </c>
      <c r="N5" s="84" t="s">
        <v>1445</v>
      </c>
      <c r="O5" s="78" t="s">
        <v>88</v>
      </c>
      <c r="P5" s="78"/>
      <c r="Q5" s="78" t="str">
        <f>IFERROR(VLOOKUP($B5,[1]Sheet2!$A:$L,12,FALSE()),"")</f>
        <v>Dubai</v>
      </c>
      <c r="R5" s="85">
        <f t="shared" ca="1" si="0"/>
        <v>-106</v>
      </c>
      <c r="S5" s="86" t="str">
        <f t="shared" ca="1" si="1"/>
        <v>EXPIRED</v>
      </c>
    </row>
    <row r="6" spans="1:19" s="67" customFormat="1" ht="15.75" customHeight="1">
      <c r="A6" s="75">
        <v>5</v>
      </c>
      <c r="B6" s="76" t="s">
        <v>1444</v>
      </c>
      <c r="C6" s="77" t="s">
        <v>1443</v>
      </c>
      <c r="D6" s="77"/>
      <c r="E6" s="78" t="s">
        <v>6</v>
      </c>
      <c r="F6" s="77" t="s">
        <v>5</v>
      </c>
      <c r="G6" s="79" t="s">
        <v>4</v>
      </c>
      <c r="H6" s="87" t="s">
        <v>1442</v>
      </c>
      <c r="I6" s="78" t="s">
        <v>1441</v>
      </c>
      <c r="J6" s="78" t="s">
        <v>1440</v>
      </c>
      <c r="K6" s="88" t="s">
        <v>42</v>
      </c>
      <c r="L6" s="82" t="str">
        <f>IFERROR(VLOOKUP($B6,[1]Sheet2!$A:$L,11,FALSE()),"")</f>
        <v/>
      </c>
      <c r="M6" s="83">
        <v>45657</v>
      </c>
      <c r="N6" s="78" t="s">
        <v>41</v>
      </c>
      <c r="O6" s="78" t="s">
        <v>1230</v>
      </c>
      <c r="P6" s="78"/>
      <c r="Q6" s="78" t="str">
        <f>IFERROR(VLOOKUP($B6,[1]Sheet2!$A:$L,12,FALSE()),"")</f>
        <v/>
      </c>
      <c r="R6" s="85">
        <f t="shared" ca="1" si="0"/>
        <v>-590</v>
      </c>
      <c r="S6" s="86" t="str">
        <f t="shared" ca="1" si="1"/>
        <v>EXPIRED</v>
      </c>
    </row>
    <row r="7" spans="1:19" s="67" customFormat="1" ht="15.75" customHeight="1">
      <c r="A7" s="75">
        <v>6</v>
      </c>
      <c r="B7" s="76" t="s">
        <v>1439</v>
      </c>
      <c r="C7" s="77" t="s">
        <v>1438</v>
      </c>
      <c r="D7" s="77" t="s">
        <v>58</v>
      </c>
      <c r="E7" s="78" t="s">
        <v>6</v>
      </c>
      <c r="F7" s="77" t="s">
        <v>5</v>
      </c>
      <c r="G7" s="79" t="s">
        <v>4</v>
      </c>
      <c r="H7" s="78"/>
      <c r="I7" s="78"/>
      <c r="J7" s="78" t="s">
        <v>3</v>
      </c>
      <c r="K7" s="81" t="s">
        <v>2</v>
      </c>
      <c r="L7" s="82">
        <f>IFERROR(VLOOKUP($B7,[1]Sheet2!$A:$L,11,FALSE()),"")</f>
        <v>45996</v>
      </c>
      <c r="M7" s="83">
        <v>46386</v>
      </c>
      <c r="N7" s="84">
        <v>46386</v>
      </c>
      <c r="O7" s="78" t="s">
        <v>1</v>
      </c>
      <c r="P7" s="78" t="s">
        <v>0</v>
      </c>
      <c r="Q7" s="78" t="str">
        <f>IFERROR(VLOOKUP($B7,[1]Sheet2!$A:$L,12,FALSE()),"")</f>
        <v>Dubai</v>
      </c>
      <c r="R7" s="85">
        <f t="shared" ca="1" si="0"/>
        <v>139</v>
      </c>
      <c r="S7" s="86" t="str">
        <f t="shared" ca="1" si="1"/>
        <v>✓ OK</v>
      </c>
    </row>
    <row r="8" spans="1:19" s="67" customFormat="1" ht="15.75" customHeight="1">
      <c r="A8" s="75">
        <v>7</v>
      </c>
      <c r="B8" s="76" t="s">
        <v>1437</v>
      </c>
      <c r="C8" s="77" t="s">
        <v>1436</v>
      </c>
      <c r="D8" s="77" t="s">
        <v>58</v>
      </c>
      <c r="E8" s="78" t="s">
        <v>6</v>
      </c>
      <c r="F8" s="77" t="s">
        <v>5</v>
      </c>
      <c r="G8" s="79" t="s">
        <v>4</v>
      </c>
      <c r="H8" s="78"/>
      <c r="I8" s="78"/>
      <c r="J8" s="78" t="s">
        <v>3</v>
      </c>
      <c r="K8" s="88" t="s">
        <v>42</v>
      </c>
      <c r="L8" s="82" t="str">
        <f>IFERROR(VLOOKUP($B8,[1]Sheet2!$A:$L,11,FALSE()),"")</f>
        <v/>
      </c>
      <c r="M8" s="83">
        <v>46141</v>
      </c>
      <c r="N8" s="89">
        <v>46141</v>
      </c>
      <c r="O8" s="78"/>
      <c r="P8" s="78"/>
      <c r="Q8" s="78" t="str">
        <f>IFERROR(VLOOKUP($B8,[1]Sheet2!$A:$L,12,FALSE()),"")</f>
        <v/>
      </c>
      <c r="R8" s="85">
        <f t="shared" ca="1" si="0"/>
        <v>-106</v>
      </c>
      <c r="S8" s="86" t="str">
        <f t="shared" ca="1" si="1"/>
        <v>EXPIRED</v>
      </c>
    </row>
    <row r="9" spans="1:19" ht="15.75" customHeight="1">
      <c r="A9" s="75">
        <v>8</v>
      </c>
      <c r="B9" s="76" t="s">
        <v>1435</v>
      </c>
      <c r="C9" s="77" t="s">
        <v>11</v>
      </c>
      <c r="D9" s="77" t="s">
        <v>58</v>
      </c>
      <c r="E9" s="78" t="s">
        <v>6</v>
      </c>
      <c r="F9" s="77" t="s">
        <v>5</v>
      </c>
      <c r="G9" s="79" t="s">
        <v>4</v>
      </c>
      <c r="H9" s="78"/>
      <c r="I9" s="78"/>
      <c r="J9" s="78" t="s">
        <v>3</v>
      </c>
      <c r="K9" s="81" t="s">
        <v>2</v>
      </c>
      <c r="L9" s="82">
        <f>IFERROR(VLOOKUP($B9,[1]Sheet2!$A:$L,11,FALSE()),"")</f>
        <v>45996</v>
      </c>
      <c r="M9" s="83">
        <v>46386</v>
      </c>
      <c r="N9" s="84">
        <v>46386</v>
      </c>
      <c r="O9" s="78" t="s">
        <v>1</v>
      </c>
      <c r="P9" s="78" t="s">
        <v>0</v>
      </c>
      <c r="Q9" s="78" t="str">
        <f>IFERROR(VLOOKUP($B9,[1]Sheet2!$A:$L,12,FALSE()),"")</f>
        <v>Dubai</v>
      </c>
      <c r="R9" s="85">
        <f t="shared" ca="1" si="0"/>
        <v>139</v>
      </c>
      <c r="S9" s="86" t="str">
        <f t="shared" ca="1" si="1"/>
        <v>✓ OK</v>
      </c>
    </row>
    <row r="10" spans="1:19" ht="15.75" customHeight="1">
      <c r="A10" s="75">
        <v>9</v>
      </c>
      <c r="B10" s="76" t="s">
        <v>1434</v>
      </c>
      <c r="C10" s="77" t="s">
        <v>31</v>
      </c>
      <c r="D10" s="77" t="s">
        <v>58</v>
      </c>
      <c r="E10" s="78" t="s">
        <v>6</v>
      </c>
      <c r="F10" s="77" t="s">
        <v>5</v>
      </c>
      <c r="G10" s="79" t="s">
        <v>4</v>
      </c>
      <c r="H10" s="78"/>
      <c r="I10" s="78"/>
      <c r="J10" s="78" t="s">
        <v>3</v>
      </c>
      <c r="K10" s="81" t="s">
        <v>2</v>
      </c>
      <c r="L10" s="82">
        <f>IFERROR(VLOOKUP($B10,[1]Sheet2!$A:$L,11,FALSE()),"")</f>
        <v>45995</v>
      </c>
      <c r="M10" s="83">
        <v>46386</v>
      </c>
      <c r="N10" s="84">
        <v>46386</v>
      </c>
      <c r="O10" s="78" t="s">
        <v>1</v>
      </c>
      <c r="P10" s="78" t="s">
        <v>0</v>
      </c>
      <c r="Q10" s="78" t="str">
        <f>IFERROR(VLOOKUP($B10,[1]Sheet2!$A:$L,12,FALSE()),"")</f>
        <v>Dubai</v>
      </c>
      <c r="R10" s="85">
        <f t="shared" ca="1" si="0"/>
        <v>139</v>
      </c>
      <c r="S10" s="86" t="str">
        <f t="shared" ca="1" si="1"/>
        <v>✓ OK</v>
      </c>
    </row>
    <row r="11" spans="1:19" ht="15.75" customHeight="1">
      <c r="A11" s="75">
        <v>10</v>
      </c>
      <c r="B11" s="76" t="s">
        <v>1433</v>
      </c>
      <c r="C11" s="77" t="s">
        <v>1432</v>
      </c>
      <c r="D11" s="77" t="s">
        <v>1431</v>
      </c>
      <c r="E11" s="78" t="s">
        <v>6</v>
      </c>
      <c r="F11" s="77" t="s">
        <v>144</v>
      </c>
      <c r="G11" s="79" t="s">
        <v>160</v>
      </c>
      <c r="H11" s="78" t="s">
        <v>1430</v>
      </c>
      <c r="I11" s="78" t="s">
        <v>1429</v>
      </c>
      <c r="J11" s="78" t="s">
        <v>1428</v>
      </c>
      <c r="K11" s="81" t="s">
        <v>2</v>
      </c>
      <c r="L11" s="82">
        <f>IFERROR(VLOOKUP($B11,[1]Sheet2!$A:$L,11,FALSE()),"")</f>
        <v>45994</v>
      </c>
      <c r="M11" s="83">
        <v>46386</v>
      </c>
      <c r="N11" s="84">
        <v>46386</v>
      </c>
      <c r="O11" s="78" t="s">
        <v>1</v>
      </c>
      <c r="P11" s="78"/>
      <c r="Q11" s="78" t="str">
        <f>IFERROR(VLOOKUP($B11,[1]Sheet2!$A:$L,12,FALSE()),"")</f>
        <v>Dubai</v>
      </c>
      <c r="R11" s="85">
        <f t="shared" ca="1" si="0"/>
        <v>139</v>
      </c>
      <c r="S11" s="86" t="str">
        <f t="shared" ca="1" si="1"/>
        <v>✓ OK</v>
      </c>
    </row>
    <row r="12" spans="1:19" ht="15.75" customHeight="1">
      <c r="A12" s="75">
        <v>11</v>
      </c>
      <c r="B12" s="76" t="s">
        <v>1427</v>
      </c>
      <c r="C12" s="77" t="s">
        <v>1426</v>
      </c>
      <c r="D12" s="77" t="s">
        <v>1426</v>
      </c>
      <c r="E12" s="78" t="s">
        <v>6</v>
      </c>
      <c r="F12" s="77" t="s">
        <v>5</v>
      </c>
      <c r="G12" s="79" t="s">
        <v>4</v>
      </c>
      <c r="H12" s="78"/>
      <c r="I12" s="78"/>
      <c r="J12" s="78" t="s">
        <v>1425</v>
      </c>
      <c r="K12" s="81" t="s">
        <v>2</v>
      </c>
      <c r="L12" s="82">
        <f>IFERROR(VLOOKUP($B12,[1]Sheet2!$A:$L,11,FALSE()),"")</f>
        <v>45996</v>
      </c>
      <c r="M12" s="83">
        <v>46386</v>
      </c>
      <c r="N12" s="84">
        <v>46386</v>
      </c>
      <c r="O12" s="78" t="s">
        <v>1</v>
      </c>
      <c r="P12" s="78" t="s">
        <v>0</v>
      </c>
      <c r="Q12" s="78" t="str">
        <f>IFERROR(VLOOKUP($B12,[1]Sheet2!$A:$L,12,FALSE()),"")</f>
        <v>Dubai</v>
      </c>
      <c r="R12" s="85">
        <f t="shared" ca="1" si="0"/>
        <v>139</v>
      </c>
      <c r="S12" s="86" t="str">
        <f t="shared" ca="1" si="1"/>
        <v>✓ OK</v>
      </c>
    </row>
    <row r="13" spans="1:19" ht="15.75" customHeight="1">
      <c r="A13" s="75">
        <v>12</v>
      </c>
      <c r="B13" s="76" t="s">
        <v>1424</v>
      </c>
      <c r="C13" s="77" t="s">
        <v>1423</v>
      </c>
      <c r="D13" s="77" t="s">
        <v>1422</v>
      </c>
      <c r="E13" s="78" t="s">
        <v>6</v>
      </c>
      <c r="F13" s="77" t="s">
        <v>5</v>
      </c>
      <c r="G13" s="79" t="s">
        <v>4</v>
      </c>
      <c r="H13" s="78"/>
      <c r="I13" s="78"/>
      <c r="J13" s="80" t="s">
        <v>45</v>
      </c>
      <c r="K13" s="81" t="s">
        <v>2</v>
      </c>
      <c r="L13" s="82">
        <f>IFERROR(VLOOKUP($B13,[1]Sheet2!$A:$L,11,FALSE()),"")</f>
        <v>45996</v>
      </c>
      <c r="M13" s="83">
        <v>46386</v>
      </c>
      <c r="N13" s="84">
        <v>46386</v>
      </c>
      <c r="O13" s="78" t="s">
        <v>1</v>
      </c>
      <c r="P13" s="78" t="s">
        <v>0</v>
      </c>
      <c r="Q13" s="78" t="str">
        <f>IFERROR(VLOOKUP($B13,[1]Sheet2!$A:$L,12,FALSE()),"")</f>
        <v>Dubai</v>
      </c>
      <c r="R13" s="85">
        <f t="shared" ca="1" si="0"/>
        <v>139</v>
      </c>
      <c r="S13" s="86" t="str">
        <f t="shared" ca="1" si="1"/>
        <v>✓ OK</v>
      </c>
    </row>
    <row r="14" spans="1:19" ht="15.75" customHeight="1">
      <c r="A14" s="75">
        <v>13</v>
      </c>
      <c r="B14" s="76" t="s">
        <v>1421</v>
      </c>
      <c r="C14" s="77" t="s">
        <v>8</v>
      </c>
      <c r="D14" s="77" t="s">
        <v>58</v>
      </c>
      <c r="E14" s="78" t="s">
        <v>6</v>
      </c>
      <c r="F14" s="77" t="s">
        <v>5</v>
      </c>
      <c r="G14" s="79" t="s">
        <v>4</v>
      </c>
      <c r="H14" s="78"/>
      <c r="I14" s="78"/>
      <c r="J14" s="78" t="s">
        <v>3</v>
      </c>
      <c r="K14" s="81" t="s">
        <v>2</v>
      </c>
      <c r="L14" s="82">
        <f>IFERROR(VLOOKUP($B14,[1]Sheet2!$A:$L,11,FALSE()),"")</f>
        <v>45995</v>
      </c>
      <c r="M14" s="83">
        <v>46386</v>
      </c>
      <c r="N14" s="84">
        <v>46386</v>
      </c>
      <c r="O14" s="78" t="s">
        <v>1</v>
      </c>
      <c r="P14" s="78" t="s">
        <v>0</v>
      </c>
      <c r="Q14" s="78" t="str">
        <f>IFERROR(VLOOKUP($B14,[1]Sheet2!$A:$L,12,FALSE()),"")</f>
        <v>Dubai</v>
      </c>
      <c r="R14" s="85">
        <f t="shared" ca="1" si="0"/>
        <v>139</v>
      </c>
      <c r="S14" s="86" t="str">
        <f t="shared" ca="1" si="1"/>
        <v>✓ OK</v>
      </c>
    </row>
    <row r="15" spans="1:19" ht="15.75" customHeight="1">
      <c r="A15" s="75">
        <v>14</v>
      </c>
      <c r="B15" s="76" t="s">
        <v>1420</v>
      </c>
      <c r="C15" s="77" t="s">
        <v>1419</v>
      </c>
      <c r="D15" s="77" t="s">
        <v>58</v>
      </c>
      <c r="E15" s="78" t="s">
        <v>6</v>
      </c>
      <c r="F15" s="77" t="s">
        <v>5</v>
      </c>
      <c r="G15" s="79" t="s">
        <v>4</v>
      </c>
      <c r="H15" s="78"/>
      <c r="I15" s="78"/>
      <c r="J15" s="78" t="s">
        <v>45</v>
      </c>
      <c r="K15" s="88" t="s">
        <v>42</v>
      </c>
      <c r="L15" s="82" t="str">
        <f>IFERROR(VLOOKUP($B15,[1]Sheet2!$A:$L,11,FALSE()),"")</f>
        <v/>
      </c>
      <c r="M15" s="90">
        <v>45657</v>
      </c>
      <c r="N15" s="78" t="s">
        <v>41</v>
      </c>
      <c r="O15" s="78" t="s">
        <v>40</v>
      </c>
      <c r="P15" s="78"/>
      <c r="Q15" s="78" t="str">
        <f>IFERROR(VLOOKUP($B15,[1]Sheet2!$A:$L,12,FALSE()),"")</f>
        <v/>
      </c>
      <c r="R15" s="85">
        <f t="shared" ca="1" si="0"/>
        <v>-590</v>
      </c>
      <c r="S15" s="86" t="str">
        <f t="shared" ca="1" si="1"/>
        <v>EXPIRED</v>
      </c>
    </row>
    <row r="16" spans="1:19" ht="15.75" customHeight="1">
      <c r="A16" s="75">
        <v>15</v>
      </c>
      <c r="B16" s="76" t="s">
        <v>1418</v>
      </c>
      <c r="C16" s="77" t="s">
        <v>1417</v>
      </c>
      <c r="D16" s="77" t="s">
        <v>58</v>
      </c>
      <c r="E16" s="78" t="s">
        <v>6</v>
      </c>
      <c r="F16" s="77" t="s">
        <v>5</v>
      </c>
      <c r="G16" s="79" t="s">
        <v>1330</v>
      </c>
      <c r="H16" s="78"/>
      <c r="I16" s="78"/>
      <c r="J16" s="78" t="s">
        <v>3</v>
      </c>
      <c r="K16" s="88" t="s">
        <v>42</v>
      </c>
      <c r="L16" s="82" t="str">
        <f>IFERROR(VLOOKUP($B16,[1]Sheet2!$A:$L,11,FALSE()),"")</f>
        <v/>
      </c>
      <c r="M16" s="90">
        <v>45657</v>
      </c>
      <c r="N16" s="78" t="s">
        <v>41</v>
      </c>
      <c r="O16" s="78" t="s">
        <v>40</v>
      </c>
      <c r="P16" s="78"/>
      <c r="Q16" s="78" t="str">
        <f>IFERROR(VLOOKUP($B16,[1]Sheet2!$A:$L,12,FALSE()),"")</f>
        <v/>
      </c>
      <c r="R16" s="85">
        <f t="shared" ca="1" si="0"/>
        <v>-590</v>
      </c>
      <c r="S16" s="86" t="str">
        <f t="shared" ca="1" si="1"/>
        <v>EXPIRED</v>
      </c>
    </row>
    <row r="17" spans="1:19" ht="15.75" customHeight="1">
      <c r="A17" s="75">
        <v>16</v>
      </c>
      <c r="B17" s="76" t="s">
        <v>1416</v>
      </c>
      <c r="C17" s="77" t="s">
        <v>27</v>
      </c>
      <c r="D17" s="77" t="s">
        <v>58</v>
      </c>
      <c r="E17" s="78" t="s">
        <v>6</v>
      </c>
      <c r="F17" s="77" t="s">
        <v>5</v>
      </c>
      <c r="G17" s="79" t="s">
        <v>4</v>
      </c>
      <c r="H17" s="78"/>
      <c r="I17" s="78"/>
      <c r="J17" s="78" t="s">
        <v>3</v>
      </c>
      <c r="K17" s="81" t="s">
        <v>2</v>
      </c>
      <c r="L17" s="82">
        <f>IFERROR(VLOOKUP($B17,[1]Sheet2!$A:$L,11,FALSE()),"")</f>
        <v>45995</v>
      </c>
      <c r="M17" s="83">
        <v>46386</v>
      </c>
      <c r="N17" s="84">
        <v>46386</v>
      </c>
      <c r="O17" s="78" t="s">
        <v>1</v>
      </c>
      <c r="P17" s="78" t="s">
        <v>0</v>
      </c>
      <c r="Q17" s="78" t="str">
        <f>IFERROR(VLOOKUP($B17,[1]Sheet2!$A:$L,12,FALSE()),"")</f>
        <v>Dubai</v>
      </c>
      <c r="R17" s="85">
        <f t="shared" ca="1" si="0"/>
        <v>139</v>
      </c>
      <c r="S17" s="86" t="str">
        <f t="shared" ca="1" si="1"/>
        <v>✓ OK</v>
      </c>
    </row>
    <row r="18" spans="1:19" ht="15.75" customHeight="1">
      <c r="A18" s="75">
        <v>17</v>
      </c>
      <c r="B18" s="76" t="s">
        <v>1415</v>
      </c>
      <c r="C18" s="77" t="s">
        <v>1414</v>
      </c>
      <c r="D18" s="77" t="s">
        <v>58</v>
      </c>
      <c r="E18" s="78" t="s">
        <v>6</v>
      </c>
      <c r="F18" s="77" t="s">
        <v>5</v>
      </c>
      <c r="G18" s="79" t="s">
        <v>4</v>
      </c>
      <c r="H18" s="78"/>
      <c r="I18" s="78"/>
      <c r="J18" s="78" t="s">
        <v>45</v>
      </c>
      <c r="K18" s="88" t="s">
        <v>42</v>
      </c>
      <c r="L18" s="82" t="str">
        <f>IFERROR(VLOOKUP($B18,[1]Sheet2!$A:$L,11,FALSE()),"")</f>
        <v/>
      </c>
      <c r="M18" s="90">
        <v>45656</v>
      </c>
      <c r="N18" s="78" t="s">
        <v>41</v>
      </c>
      <c r="O18" s="78" t="s">
        <v>40</v>
      </c>
      <c r="P18" s="78"/>
      <c r="Q18" s="78" t="str">
        <f>IFERROR(VLOOKUP($B18,[1]Sheet2!$A:$L,12,FALSE()),"")</f>
        <v/>
      </c>
      <c r="R18" s="85">
        <f t="shared" ca="1" si="0"/>
        <v>-591</v>
      </c>
      <c r="S18" s="86" t="str">
        <f t="shared" ca="1" si="1"/>
        <v>EXPIRED</v>
      </c>
    </row>
    <row r="19" spans="1:19" ht="15.75" customHeight="1">
      <c r="A19" s="75">
        <v>18</v>
      </c>
      <c r="B19" s="76" t="s">
        <v>1413</v>
      </c>
      <c r="C19" s="77" t="s">
        <v>89</v>
      </c>
      <c r="D19" s="77" t="s">
        <v>58</v>
      </c>
      <c r="E19" s="78" t="s">
        <v>6</v>
      </c>
      <c r="F19" s="77" t="s">
        <v>5</v>
      </c>
      <c r="G19" s="79" t="s">
        <v>4</v>
      </c>
      <c r="H19" s="78"/>
      <c r="I19" s="78"/>
      <c r="J19" s="80" t="s">
        <v>3</v>
      </c>
      <c r="K19" s="81" t="s">
        <v>2</v>
      </c>
      <c r="L19" s="82">
        <f>IFERROR(VLOOKUP($B19,[1]Sheet2!$A:$L,11,FALSE()),"")</f>
        <v>45995</v>
      </c>
      <c r="M19" s="83">
        <v>46386</v>
      </c>
      <c r="N19" s="84">
        <v>46386</v>
      </c>
      <c r="O19" s="78" t="s">
        <v>1</v>
      </c>
      <c r="P19" s="78" t="s">
        <v>0</v>
      </c>
      <c r="Q19" s="78" t="str">
        <f>IFERROR(VLOOKUP($B19,[1]Sheet2!$A:$L,12,FALSE()),"")</f>
        <v>Dubai</v>
      </c>
      <c r="R19" s="85">
        <f t="shared" ca="1" si="0"/>
        <v>139</v>
      </c>
      <c r="S19" s="86" t="str">
        <f t="shared" ca="1" si="1"/>
        <v>✓ OK</v>
      </c>
    </row>
    <row r="20" spans="1:19" ht="15.75" customHeight="1">
      <c r="A20" s="75">
        <v>19</v>
      </c>
      <c r="B20" s="76" t="s">
        <v>1412</v>
      </c>
      <c r="C20" s="77" t="s">
        <v>91</v>
      </c>
      <c r="D20" s="77" t="s">
        <v>58</v>
      </c>
      <c r="E20" s="78" t="s">
        <v>6</v>
      </c>
      <c r="F20" s="77" t="s">
        <v>5</v>
      </c>
      <c r="G20" s="79" t="s">
        <v>4</v>
      </c>
      <c r="H20" s="78"/>
      <c r="I20" s="78"/>
      <c r="J20" s="78" t="s">
        <v>3</v>
      </c>
      <c r="K20" s="81" t="s">
        <v>2</v>
      </c>
      <c r="L20" s="82">
        <f>IFERROR(VLOOKUP($B20,[1]Sheet2!$A:$L,11,FALSE()),"")</f>
        <v>45994</v>
      </c>
      <c r="M20" s="83">
        <v>46386</v>
      </c>
      <c r="N20" s="84">
        <v>46386</v>
      </c>
      <c r="O20" s="78" t="s">
        <v>1</v>
      </c>
      <c r="P20" s="78" t="s">
        <v>0</v>
      </c>
      <c r="Q20" s="78" t="str">
        <f>IFERROR(VLOOKUP($B20,[1]Sheet2!$A:$L,12,FALSE()),"")</f>
        <v>Dubai</v>
      </c>
      <c r="R20" s="85">
        <f t="shared" ca="1" si="0"/>
        <v>139</v>
      </c>
      <c r="S20" s="86" t="str">
        <f t="shared" ca="1" si="1"/>
        <v>✓ OK</v>
      </c>
    </row>
    <row r="21" spans="1:19" ht="15.75" customHeight="1">
      <c r="A21" s="75">
        <v>20</v>
      </c>
      <c r="B21" s="76" t="s">
        <v>1411</v>
      </c>
      <c r="C21" s="77" t="s">
        <v>1410</v>
      </c>
      <c r="D21" s="77" t="s">
        <v>58</v>
      </c>
      <c r="E21" s="78" t="s">
        <v>6</v>
      </c>
      <c r="F21" s="77" t="s">
        <v>5</v>
      </c>
      <c r="G21" s="79" t="s">
        <v>4</v>
      </c>
      <c r="H21" s="78"/>
      <c r="I21" s="78"/>
      <c r="J21" s="78" t="s">
        <v>3</v>
      </c>
      <c r="K21" s="81" t="s">
        <v>42</v>
      </c>
      <c r="L21" s="82" t="str">
        <f>IFERROR(VLOOKUP($B21,[1]Sheet2!$A:$L,11,FALSE()),"")</f>
        <v/>
      </c>
      <c r="M21" s="83">
        <v>46386</v>
      </c>
      <c r="N21" s="90" t="s">
        <v>41</v>
      </c>
      <c r="O21" s="78" t="s">
        <v>40</v>
      </c>
      <c r="P21" s="78"/>
      <c r="Q21" s="78" t="str">
        <f>IFERROR(VLOOKUP($B21,[1]Sheet2!$A:$L,12,FALSE()),"")</f>
        <v/>
      </c>
      <c r="R21" s="85">
        <f t="shared" ca="1" si="0"/>
        <v>139</v>
      </c>
      <c r="S21" s="86" t="str">
        <f t="shared" ca="1" si="1"/>
        <v>✓ OK</v>
      </c>
    </row>
    <row r="22" spans="1:19" ht="15.75" customHeight="1">
      <c r="A22" s="75">
        <v>21</v>
      </c>
      <c r="B22" s="76" t="s">
        <v>1409</v>
      </c>
      <c r="C22" s="77" t="s">
        <v>1408</v>
      </c>
      <c r="D22" s="77" t="s">
        <v>58</v>
      </c>
      <c r="E22" s="78" t="s">
        <v>6</v>
      </c>
      <c r="F22" s="77" t="s">
        <v>5</v>
      </c>
      <c r="G22" s="79" t="s">
        <v>4</v>
      </c>
      <c r="H22" s="78"/>
      <c r="I22" s="78"/>
      <c r="J22" s="78" t="s">
        <v>3</v>
      </c>
      <c r="K22" s="81" t="s">
        <v>2</v>
      </c>
      <c r="L22" s="82">
        <f>IFERROR(VLOOKUP($B22,[1]Sheet2!$A:$L,11,FALSE()),"")</f>
        <v>45996</v>
      </c>
      <c r="M22" s="83">
        <v>46386</v>
      </c>
      <c r="N22" s="84">
        <v>46386</v>
      </c>
      <c r="O22" s="78" t="s">
        <v>1</v>
      </c>
      <c r="P22" s="78" t="s">
        <v>0</v>
      </c>
      <c r="Q22" s="78" t="str">
        <f>IFERROR(VLOOKUP($B22,[1]Sheet2!$A:$L,12,FALSE()),"")</f>
        <v>Dubai</v>
      </c>
      <c r="R22" s="85">
        <f t="shared" ca="1" si="0"/>
        <v>139</v>
      </c>
      <c r="S22" s="86" t="str">
        <f t="shared" ca="1" si="1"/>
        <v>✓ OK</v>
      </c>
    </row>
    <row r="23" spans="1:19" ht="15.75" customHeight="1">
      <c r="A23" s="75">
        <v>22</v>
      </c>
      <c r="B23" s="76" t="s">
        <v>1407</v>
      </c>
      <c r="C23" s="77" t="s">
        <v>21</v>
      </c>
      <c r="D23" s="77" t="s">
        <v>58</v>
      </c>
      <c r="E23" s="78" t="s">
        <v>6</v>
      </c>
      <c r="F23" s="77" t="s">
        <v>5</v>
      </c>
      <c r="G23" s="79" t="s">
        <v>621</v>
      </c>
      <c r="H23" s="78"/>
      <c r="I23" s="78"/>
      <c r="J23" s="78" t="s">
        <v>3</v>
      </c>
      <c r="K23" s="81" t="s">
        <v>2</v>
      </c>
      <c r="L23" s="82">
        <f>IFERROR(VLOOKUP($B23,[1]Sheet2!$A:$L,11,FALSE()),"")</f>
        <v>45995</v>
      </c>
      <c r="M23" s="83">
        <v>46386</v>
      </c>
      <c r="N23" s="84">
        <v>46386</v>
      </c>
      <c r="O23" s="78" t="s">
        <v>1</v>
      </c>
      <c r="P23" s="78" t="s">
        <v>0</v>
      </c>
      <c r="Q23" s="78" t="str">
        <f>IFERROR(VLOOKUP($B23,[1]Sheet2!$A:$L,12,FALSE()),"")</f>
        <v>Dubai</v>
      </c>
      <c r="R23" s="85">
        <f t="shared" ca="1" si="0"/>
        <v>139</v>
      </c>
      <c r="S23" s="86" t="str">
        <f t="shared" ca="1" si="1"/>
        <v>✓ OK</v>
      </c>
    </row>
    <row r="24" spans="1:19" ht="15.75" customHeight="1">
      <c r="A24" s="75">
        <v>23</v>
      </c>
      <c r="B24" s="76" t="s">
        <v>1406</v>
      </c>
      <c r="C24" s="77" t="s">
        <v>1405</v>
      </c>
      <c r="D24" s="77" t="s">
        <v>58</v>
      </c>
      <c r="E24" s="78" t="s">
        <v>6</v>
      </c>
      <c r="F24" s="77" t="s">
        <v>5</v>
      </c>
      <c r="G24" s="79" t="s">
        <v>621</v>
      </c>
      <c r="H24" s="78"/>
      <c r="I24" s="78"/>
      <c r="J24" s="78" t="s">
        <v>45</v>
      </c>
      <c r="K24" s="88" t="s">
        <v>42</v>
      </c>
      <c r="L24" s="82" t="str">
        <f>IFERROR(VLOOKUP($B24,[1]Sheet2!$A:$L,11,FALSE()),"")</f>
        <v/>
      </c>
      <c r="M24" s="90">
        <v>45641</v>
      </c>
      <c r="N24" s="78" t="s">
        <v>41</v>
      </c>
      <c r="O24" s="78" t="s">
        <v>1402</v>
      </c>
      <c r="P24" s="78"/>
      <c r="Q24" s="78" t="str">
        <f>IFERROR(VLOOKUP($B24,[1]Sheet2!$A:$L,12,FALSE()),"")</f>
        <v/>
      </c>
      <c r="R24" s="85">
        <f t="shared" ca="1" si="0"/>
        <v>-606</v>
      </c>
      <c r="S24" s="86" t="str">
        <f t="shared" ca="1" si="1"/>
        <v>EXPIRED</v>
      </c>
    </row>
    <row r="25" spans="1:19" ht="15.75" customHeight="1">
      <c r="A25" s="75">
        <v>24</v>
      </c>
      <c r="B25" s="76" t="s">
        <v>1404</v>
      </c>
      <c r="C25" s="77" t="s">
        <v>1403</v>
      </c>
      <c r="D25" s="77" t="s">
        <v>58</v>
      </c>
      <c r="E25" s="78" t="s">
        <v>6</v>
      </c>
      <c r="F25" s="77" t="s">
        <v>5</v>
      </c>
      <c r="G25" s="79" t="s">
        <v>621</v>
      </c>
      <c r="H25" s="78"/>
      <c r="I25" s="78"/>
      <c r="J25" s="78" t="s">
        <v>45</v>
      </c>
      <c r="K25" s="88" t="s">
        <v>42</v>
      </c>
      <c r="L25" s="82" t="str">
        <f>IFERROR(VLOOKUP($B25,[1]Sheet2!$A:$L,11,FALSE()),"")</f>
        <v/>
      </c>
      <c r="M25" s="90">
        <v>45657</v>
      </c>
      <c r="N25" s="78" t="s">
        <v>41</v>
      </c>
      <c r="O25" s="78" t="s">
        <v>1402</v>
      </c>
      <c r="P25" s="78"/>
      <c r="Q25" s="78" t="str">
        <f>IFERROR(VLOOKUP($B25,[1]Sheet2!$A:$L,12,FALSE()),"")</f>
        <v/>
      </c>
      <c r="R25" s="85">
        <f t="shared" ca="1" si="0"/>
        <v>-590</v>
      </c>
      <c r="S25" s="86" t="str">
        <f t="shared" ca="1" si="1"/>
        <v>EXPIRED</v>
      </c>
    </row>
    <row r="26" spans="1:19" ht="15.75" customHeight="1">
      <c r="A26" s="75">
        <v>25</v>
      </c>
      <c r="B26" s="76" t="s">
        <v>1401</v>
      </c>
      <c r="C26" s="77" t="s">
        <v>1400</v>
      </c>
      <c r="D26" s="77" t="s">
        <v>58</v>
      </c>
      <c r="E26" s="78" t="s">
        <v>6</v>
      </c>
      <c r="F26" s="77" t="s">
        <v>5</v>
      </c>
      <c r="G26" s="79" t="s">
        <v>621</v>
      </c>
      <c r="H26" s="78"/>
      <c r="I26" s="78"/>
      <c r="J26" s="78" t="s">
        <v>45</v>
      </c>
      <c r="K26" s="88" t="s">
        <v>42</v>
      </c>
      <c r="L26" s="82" t="str">
        <f>IFERROR(VLOOKUP($B26,[1]Sheet2!$A:$L,11,FALSE()),"")</f>
        <v/>
      </c>
      <c r="M26" s="90">
        <v>45653</v>
      </c>
      <c r="N26" s="78" t="s">
        <v>41</v>
      </c>
      <c r="O26" s="78" t="s">
        <v>40</v>
      </c>
      <c r="P26" s="78"/>
      <c r="Q26" s="78" t="str">
        <f>IFERROR(VLOOKUP($B26,[1]Sheet2!$A:$L,12,FALSE()),"")</f>
        <v/>
      </c>
      <c r="R26" s="85">
        <f t="shared" ca="1" si="0"/>
        <v>-594</v>
      </c>
      <c r="S26" s="86" t="str">
        <f t="shared" ca="1" si="1"/>
        <v>EXPIRED</v>
      </c>
    </row>
    <row r="27" spans="1:19" ht="15.75" customHeight="1">
      <c r="A27" s="75">
        <v>26</v>
      </c>
      <c r="B27" s="76" t="s">
        <v>1399</v>
      </c>
      <c r="C27" s="77" t="s">
        <v>33</v>
      </c>
      <c r="D27" s="77" t="s">
        <v>58</v>
      </c>
      <c r="E27" s="78" t="s">
        <v>6</v>
      </c>
      <c r="F27" s="77" t="s">
        <v>5</v>
      </c>
      <c r="G27" s="79" t="s">
        <v>4</v>
      </c>
      <c r="H27" s="78"/>
      <c r="I27" s="78"/>
      <c r="J27" s="78" t="s">
        <v>3</v>
      </c>
      <c r="K27" s="81" t="s">
        <v>2</v>
      </c>
      <c r="L27" s="82">
        <f>IFERROR(VLOOKUP($B27,[1]Sheet2!$A:$L,11,FALSE()),"")</f>
        <v>45996</v>
      </c>
      <c r="M27" s="83">
        <v>46386</v>
      </c>
      <c r="N27" s="84">
        <v>46386</v>
      </c>
      <c r="O27" s="78" t="s">
        <v>1</v>
      </c>
      <c r="P27" s="78" t="s">
        <v>0</v>
      </c>
      <c r="Q27" s="78" t="str">
        <f>IFERROR(VLOOKUP($B27,[1]Sheet2!$A:$L,12,FALSE()),"")</f>
        <v>Dubai</v>
      </c>
      <c r="R27" s="85">
        <f t="shared" ca="1" si="0"/>
        <v>139</v>
      </c>
      <c r="S27" s="86" t="str">
        <f t="shared" ca="1" si="1"/>
        <v>✓ OK</v>
      </c>
    </row>
    <row r="28" spans="1:19" ht="15.75" customHeight="1">
      <c r="A28" s="75">
        <v>27</v>
      </c>
      <c r="B28" s="76" t="s">
        <v>1398</v>
      </c>
      <c r="C28" s="77" t="s">
        <v>96</v>
      </c>
      <c r="D28" s="77" t="s">
        <v>58</v>
      </c>
      <c r="E28" s="78" t="s">
        <v>6</v>
      </c>
      <c r="F28" s="77" t="s">
        <v>5</v>
      </c>
      <c r="G28" s="79" t="s">
        <v>4</v>
      </c>
      <c r="H28" s="78"/>
      <c r="I28" s="78"/>
      <c r="J28" s="78" t="s">
        <v>3</v>
      </c>
      <c r="K28" s="81" t="s">
        <v>42</v>
      </c>
      <c r="L28" s="82" t="str">
        <f>IFERROR(VLOOKUP($B28,[1]Sheet2!$A:$L,11,FALSE()),"")</f>
        <v/>
      </c>
      <c r="M28" s="83">
        <v>46386</v>
      </c>
      <c r="N28" s="78" t="s">
        <v>41</v>
      </c>
      <c r="O28" s="78" t="s">
        <v>40</v>
      </c>
      <c r="P28" s="78"/>
      <c r="Q28" s="78" t="str">
        <f>IFERROR(VLOOKUP($B28,[1]Sheet2!$A:$L,12,FALSE()),"")</f>
        <v/>
      </c>
      <c r="R28" s="85">
        <f t="shared" ca="1" si="0"/>
        <v>139</v>
      </c>
      <c r="S28" s="86" t="str">
        <f t="shared" ca="1" si="1"/>
        <v>✓ OK</v>
      </c>
    </row>
    <row r="29" spans="1:19" ht="15.75" customHeight="1">
      <c r="A29" s="75">
        <v>28</v>
      </c>
      <c r="B29" s="76" t="s">
        <v>1397</v>
      </c>
      <c r="C29" s="77" t="s">
        <v>94</v>
      </c>
      <c r="D29" s="77" t="s">
        <v>58</v>
      </c>
      <c r="E29" s="78" t="s">
        <v>6</v>
      </c>
      <c r="F29" s="77" t="s">
        <v>5</v>
      </c>
      <c r="G29" s="79" t="s">
        <v>4</v>
      </c>
      <c r="H29" s="78"/>
      <c r="I29" s="78"/>
      <c r="J29" s="78" t="s">
        <v>35</v>
      </c>
      <c r="K29" s="81" t="s">
        <v>42</v>
      </c>
      <c r="L29" s="82" t="str">
        <f>IFERROR(VLOOKUP($B29,[1]Sheet2!$A:$L,11,FALSE()),"")</f>
        <v/>
      </c>
      <c r="M29" s="83">
        <v>46182</v>
      </c>
      <c r="N29" s="78" t="s">
        <v>41</v>
      </c>
      <c r="O29" s="78" t="s">
        <v>40</v>
      </c>
      <c r="P29" s="78"/>
      <c r="Q29" s="78" t="s">
        <v>57</v>
      </c>
      <c r="R29" s="85">
        <f t="shared" ca="1" si="0"/>
        <v>-65</v>
      </c>
      <c r="S29" s="86" t="str">
        <f t="shared" ca="1" si="1"/>
        <v>EXPIRED</v>
      </c>
    </row>
    <row r="30" spans="1:19" ht="15.75" customHeight="1">
      <c r="A30" s="75">
        <v>29</v>
      </c>
      <c r="B30" s="76" t="s">
        <v>1396</v>
      </c>
      <c r="C30" s="77" t="s">
        <v>43</v>
      </c>
      <c r="D30" s="77" t="s">
        <v>58</v>
      </c>
      <c r="E30" s="78" t="s">
        <v>6</v>
      </c>
      <c r="F30" s="77" t="s">
        <v>5</v>
      </c>
      <c r="G30" s="79" t="s">
        <v>4</v>
      </c>
      <c r="H30" s="78"/>
      <c r="I30" s="78"/>
      <c r="J30" s="78" t="s">
        <v>3</v>
      </c>
      <c r="K30" s="81" t="s">
        <v>42</v>
      </c>
      <c r="L30" s="82" t="str">
        <f>IFERROR(VLOOKUP($B30,[1]Sheet2!$A:$L,11,FALSE()),"")</f>
        <v/>
      </c>
      <c r="M30" s="83">
        <v>46182</v>
      </c>
      <c r="N30" s="78" t="s">
        <v>41</v>
      </c>
      <c r="O30" s="78" t="s">
        <v>40</v>
      </c>
      <c r="P30" s="78"/>
      <c r="Q30" s="78" t="s">
        <v>57</v>
      </c>
      <c r="R30" s="85">
        <f t="shared" ca="1" si="0"/>
        <v>-65</v>
      </c>
      <c r="S30" s="86" t="str">
        <f t="shared" ca="1" si="1"/>
        <v>EXPIRED</v>
      </c>
    </row>
    <row r="31" spans="1:19" ht="15.75" customHeight="1">
      <c r="A31" s="75">
        <v>30</v>
      </c>
      <c r="B31" s="76" t="s">
        <v>1395</v>
      </c>
      <c r="C31" s="77" t="s">
        <v>36</v>
      </c>
      <c r="D31" s="77" t="s">
        <v>58</v>
      </c>
      <c r="E31" s="78" t="s">
        <v>6</v>
      </c>
      <c r="F31" s="77" t="s">
        <v>5</v>
      </c>
      <c r="G31" s="79" t="s">
        <v>1162</v>
      </c>
      <c r="H31" s="78"/>
      <c r="I31" s="78"/>
      <c r="J31" s="78" t="s">
        <v>35</v>
      </c>
      <c r="K31" s="81" t="s">
        <v>2</v>
      </c>
      <c r="L31" s="82">
        <f>IFERROR(VLOOKUP($B31,[1]Sheet2!$A:$L,11,FALSE()),"")</f>
        <v>45996</v>
      </c>
      <c r="M31" s="83">
        <v>46386</v>
      </c>
      <c r="N31" s="84">
        <v>46386</v>
      </c>
      <c r="O31" s="78" t="s">
        <v>1</v>
      </c>
      <c r="P31" s="78" t="s">
        <v>0</v>
      </c>
      <c r="Q31" s="78" t="str">
        <f>IFERROR(VLOOKUP($B31,[1]Sheet2!$A:$L,12,FALSE()),"")</f>
        <v>Dubai</v>
      </c>
      <c r="R31" s="85">
        <f t="shared" ca="1" si="0"/>
        <v>139</v>
      </c>
      <c r="S31" s="86" t="str">
        <f t="shared" ca="1" si="1"/>
        <v>✓ OK</v>
      </c>
    </row>
    <row r="32" spans="1:19" ht="15.75" customHeight="1">
      <c r="A32" s="75">
        <v>31</v>
      </c>
      <c r="B32" s="76" t="s">
        <v>1394</v>
      </c>
      <c r="C32" s="77" t="s">
        <v>38</v>
      </c>
      <c r="D32" s="77" t="s">
        <v>58</v>
      </c>
      <c r="E32" s="78" t="s">
        <v>6</v>
      </c>
      <c r="F32" s="77" t="s">
        <v>5</v>
      </c>
      <c r="G32" s="79" t="s">
        <v>1162</v>
      </c>
      <c r="H32" s="78"/>
      <c r="I32" s="78"/>
      <c r="J32" s="78" t="s">
        <v>35</v>
      </c>
      <c r="K32" s="81" t="s">
        <v>2</v>
      </c>
      <c r="L32" s="82">
        <f>IFERROR(VLOOKUP($B32,[1]Sheet2!$A:$L,11,FALSE()),"")</f>
        <v>45996</v>
      </c>
      <c r="M32" s="83">
        <v>46386</v>
      </c>
      <c r="N32" s="84">
        <v>46386</v>
      </c>
      <c r="O32" s="78" t="s">
        <v>1</v>
      </c>
      <c r="P32" s="78"/>
      <c r="Q32" s="78" t="str">
        <f>IFERROR(VLOOKUP($B32,[1]Sheet2!$A:$L,12,FALSE()),"")</f>
        <v>Dubai</v>
      </c>
      <c r="R32" s="85">
        <f t="shared" ca="1" si="0"/>
        <v>139</v>
      </c>
      <c r="S32" s="86" t="str">
        <f t="shared" ca="1" si="1"/>
        <v>✓ OK</v>
      </c>
    </row>
    <row r="33" spans="1:19" ht="15.75" customHeight="1">
      <c r="A33" s="75">
        <v>32</v>
      </c>
      <c r="B33" s="76" t="s">
        <v>1393</v>
      </c>
      <c r="C33" s="77" t="s">
        <v>1392</v>
      </c>
      <c r="D33" s="77" t="s">
        <v>58</v>
      </c>
      <c r="E33" s="78" t="s">
        <v>6</v>
      </c>
      <c r="F33" s="77" t="s">
        <v>5</v>
      </c>
      <c r="G33" s="79" t="s">
        <v>1162</v>
      </c>
      <c r="H33" s="78"/>
      <c r="I33" s="78"/>
      <c r="J33" s="78" t="s">
        <v>35</v>
      </c>
      <c r="K33" s="81" t="s">
        <v>2</v>
      </c>
      <c r="L33" s="82">
        <f>IFERROR(VLOOKUP($B33,[1]Sheet2!$A:$L,11,FALSE()),"")</f>
        <v>45996</v>
      </c>
      <c r="M33" s="83">
        <v>46386</v>
      </c>
      <c r="N33" s="84">
        <v>46386</v>
      </c>
      <c r="O33" s="78" t="s">
        <v>1</v>
      </c>
      <c r="P33" s="78" t="s">
        <v>0</v>
      </c>
      <c r="Q33" s="78" t="str">
        <f>IFERROR(VLOOKUP($B33,[1]Sheet2!$A:$L,12,FALSE()),"")</f>
        <v>Dubai</v>
      </c>
      <c r="R33" s="85">
        <f t="shared" ca="1" si="0"/>
        <v>139</v>
      </c>
      <c r="S33" s="86" t="str">
        <f t="shared" ca="1" si="1"/>
        <v>✓ OK</v>
      </c>
    </row>
    <row r="34" spans="1:19" ht="15.75" customHeight="1">
      <c r="A34" s="75">
        <v>33</v>
      </c>
      <c r="B34" s="76" t="s">
        <v>1391</v>
      </c>
      <c r="C34" s="77" t="s">
        <v>1390</v>
      </c>
      <c r="D34" s="77" t="s">
        <v>58</v>
      </c>
      <c r="E34" s="78" t="s">
        <v>6</v>
      </c>
      <c r="F34" s="77" t="s">
        <v>5</v>
      </c>
      <c r="G34" s="79" t="s">
        <v>4</v>
      </c>
      <c r="H34" s="78"/>
      <c r="I34" s="78"/>
      <c r="J34" s="78" t="s">
        <v>3</v>
      </c>
      <c r="K34" s="88" t="s">
        <v>42</v>
      </c>
      <c r="L34" s="82" t="str">
        <f>IFERROR(VLOOKUP($B34,[1]Sheet2!$A:$L,11,FALSE()),"")</f>
        <v/>
      </c>
      <c r="M34" s="90">
        <v>45636</v>
      </c>
      <c r="N34" s="78" t="s">
        <v>41</v>
      </c>
      <c r="O34" s="78" t="s">
        <v>40</v>
      </c>
      <c r="P34" s="78"/>
      <c r="Q34" s="78" t="str">
        <f>IFERROR(VLOOKUP($B34,[1]Sheet2!$A:$L,12,FALSE()),"")</f>
        <v/>
      </c>
      <c r="R34" s="85">
        <f t="shared" ca="1" si="0"/>
        <v>-611</v>
      </c>
      <c r="S34" s="86" t="str">
        <f t="shared" ca="1" si="1"/>
        <v>EXPIRED</v>
      </c>
    </row>
    <row r="35" spans="1:19" ht="15.75" customHeight="1">
      <c r="A35" s="75">
        <v>34</v>
      </c>
      <c r="B35" s="76" t="s">
        <v>1389</v>
      </c>
      <c r="C35" s="77" t="s">
        <v>1388</v>
      </c>
      <c r="D35" s="77" t="s">
        <v>58</v>
      </c>
      <c r="E35" s="78" t="s">
        <v>6</v>
      </c>
      <c r="F35" s="77" t="s">
        <v>53</v>
      </c>
      <c r="G35" s="79" t="s">
        <v>78</v>
      </c>
      <c r="H35" s="78"/>
      <c r="I35" s="78"/>
      <c r="J35" s="78" t="s">
        <v>1093</v>
      </c>
      <c r="K35" s="81" t="s">
        <v>2</v>
      </c>
      <c r="L35" s="82">
        <f>IFERROR(VLOOKUP($B35,[1]Sheet2!$A:$L,11,FALSE()),"")</f>
        <v>45996</v>
      </c>
      <c r="M35" s="83">
        <v>46386</v>
      </c>
      <c r="N35" s="84">
        <v>46386</v>
      </c>
      <c r="O35" s="78" t="s">
        <v>1</v>
      </c>
      <c r="P35" s="78" t="s">
        <v>0</v>
      </c>
      <c r="Q35" s="78" t="str">
        <f>IFERROR(VLOOKUP($B35,[1]Sheet2!$A:$L,12,FALSE()),"")</f>
        <v>Dubai</v>
      </c>
      <c r="R35" s="85">
        <f t="shared" ca="1" si="0"/>
        <v>139</v>
      </c>
      <c r="S35" s="86" t="str">
        <f t="shared" ca="1" si="1"/>
        <v>✓ OK</v>
      </c>
    </row>
    <row r="36" spans="1:19" ht="15.75" customHeight="1">
      <c r="A36" s="75">
        <v>35</v>
      </c>
      <c r="B36" s="76" t="s">
        <v>1387</v>
      </c>
      <c r="C36" s="77" t="s">
        <v>1386</v>
      </c>
      <c r="D36" s="77" t="s">
        <v>58</v>
      </c>
      <c r="E36" s="78" t="s">
        <v>6</v>
      </c>
      <c r="F36" s="77" t="s">
        <v>5</v>
      </c>
      <c r="G36" s="79" t="s">
        <v>4</v>
      </c>
      <c r="H36" s="78"/>
      <c r="I36" s="78"/>
      <c r="J36" s="78" t="s">
        <v>3</v>
      </c>
      <c r="K36" s="81" t="s">
        <v>2</v>
      </c>
      <c r="L36" s="82">
        <f>IFERROR(VLOOKUP($B36,[1]Sheet2!$A:$L,11,FALSE()),"")</f>
        <v>45996</v>
      </c>
      <c r="M36" s="83">
        <v>46386</v>
      </c>
      <c r="N36" s="84">
        <v>46386</v>
      </c>
      <c r="O36" s="78" t="s">
        <v>1</v>
      </c>
      <c r="P36" s="78" t="s">
        <v>0</v>
      </c>
      <c r="Q36" s="78" t="str">
        <f>IFERROR(VLOOKUP($B36,[1]Sheet2!$A:$L,12,FALSE()),"")</f>
        <v>Dubai</v>
      </c>
      <c r="R36" s="85">
        <f t="shared" ca="1" si="0"/>
        <v>139</v>
      </c>
      <c r="S36" s="86" t="str">
        <f t="shared" ca="1" si="1"/>
        <v>✓ OK</v>
      </c>
    </row>
    <row r="37" spans="1:19" ht="15.75" customHeight="1">
      <c r="A37" s="75">
        <v>36</v>
      </c>
      <c r="B37" s="76" t="s">
        <v>1385</v>
      </c>
      <c r="C37" s="77" t="s">
        <v>1384</v>
      </c>
      <c r="D37" s="77" t="s">
        <v>58</v>
      </c>
      <c r="E37" s="78" t="s">
        <v>6</v>
      </c>
      <c r="F37" s="77" t="s">
        <v>5</v>
      </c>
      <c r="G37" s="79" t="s">
        <v>4</v>
      </c>
      <c r="H37" s="78"/>
      <c r="I37" s="78"/>
      <c r="J37" s="78" t="s">
        <v>35</v>
      </c>
      <c r="K37" s="81" t="s">
        <v>2</v>
      </c>
      <c r="L37" s="82">
        <f>IFERROR(VLOOKUP($B37,[1]Sheet2!$A:$L,11,FALSE()),"")</f>
        <v>45996</v>
      </c>
      <c r="M37" s="83">
        <v>46386</v>
      </c>
      <c r="N37" s="84">
        <v>46386</v>
      </c>
      <c r="O37" s="78" t="s">
        <v>1</v>
      </c>
      <c r="P37" s="78" t="s">
        <v>0</v>
      </c>
      <c r="Q37" s="78" t="str">
        <f>IFERROR(VLOOKUP($B37,[1]Sheet2!$A:$L,12,FALSE()),"")</f>
        <v>Dubai</v>
      </c>
      <c r="R37" s="85">
        <f t="shared" ca="1" si="0"/>
        <v>139</v>
      </c>
      <c r="S37" s="86" t="str">
        <f t="shared" ca="1" si="1"/>
        <v>✓ OK</v>
      </c>
    </row>
    <row r="38" spans="1:19" ht="15.75" customHeight="1">
      <c r="A38" s="75">
        <v>37</v>
      </c>
      <c r="B38" s="76" t="s">
        <v>1383</v>
      </c>
      <c r="C38" s="77" t="s">
        <v>1382</v>
      </c>
      <c r="D38" s="77" t="s">
        <v>58</v>
      </c>
      <c r="E38" s="78" t="s">
        <v>6</v>
      </c>
      <c r="F38" s="77" t="s">
        <v>5</v>
      </c>
      <c r="G38" s="79" t="s">
        <v>4</v>
      </c>
      <c r="H38" s="78"/>
      <c r="I38" s="78"/>
      <c r="J38" s="78" t="s">
        <v>35</v>
      </c>
      <c r="K38" s="81" t="s">
        <v>2</v>
      </c>
      <c r="L38" s="82">
        <f>IFERROR(VLOOKUP($B38,[1]Sheet2!$A:$L,11,FALSE()),"")</f>
        <v>45988</v>
      </c>
      <c r="M38" s="83">
        <v>46386</v>
      </c>
      <c r="N38" s="84">
        <v>46386</v>
      </c>
      <c r="O38" s="78" t="s">
        <v>1</v>
      </c>
      <c r="P38" s="78" t="s">
        <v>0</v>
      </c>
      <c r="Q38" s="78" t="str">
        <f>IFERROR(VLOOKUP($B38,[1]Sheet2!$A:$L,12,FALSE()),"")</f>
        <v>Dubai</v>
      </c>
      <c r="R38" s="85">
        <f t="shared" ca="1" si="0"/>
        <v>139</v>
      </c>
      <c r="S38" s="86" t="str">
        <f t="shared" ca="1" si="1"/>
        <v>✓ OK</v>
      </c>
    </row>
    <row r="39" spans="1:19" ht="15.75" customHeight="1">
      <c r="A39" s="75">
        <v>38</v>
      </c>
      <c r="B39" s="76" t="s">
        <v>1381</v>
      </c>
      <c r="C39" s="77" t="s">
        <v>13</v>
      </c>
      <c r="D39" s="77" t="s">
        <v>58</v>
      </c>
      <c r="E39" s="78" t="s">
        <v>6</v>
      </c>
      <c r="F39" s="77" t="s">
        <v>5</v>
      </c>
      <c r="G39" s="79" t="s">
        <v>4</v>
      </c>
      <c r="H39" s="78"/>
      <c r="I39" s="78"/>
      <c r="J39" s="78" t="s">
        <v>3</v>
      </c>
      <c r="K39" s="81" t="s">
        <v>2</v>
      </c>
      <c r="L39" s="82">
        <f>IFERROR(VLOOKUP($B39,[1]Sheet2!$A:$L,11,FALSE()),"")</f>
        <v>45996</v>
      </c>
      <c r="M39" s="83">
        <v>46386</v>
      </c>
      <c r="N39" s="84">
        <v>46386</v>
      </c>
      <c r="O39" s="78" t="s">
        <v>1</v>
      </c>
      <c r="P39" s="78" t="s">
        <v>0</v>
      </c>
      <c r="Q39" s="78" t="str">
        <f>IFERROR(VLOOKUP($B39,[1]Sheet2!$A:$L,12,FALSE()),"")</f>
        <v>Dubai</v>
      </c>
      <c r="R39" s="85">
        <f t="shared" ca="1" si="0"/>
        <v>139</v>
      </c>
      <c r="S39" s="86" t="str">
        <f t="shared" ca="1" si="1"/>
        <v>✓ OK</v>
      </c>
    </row>
    <row r="40" spans="1:19" ht="15.75" customHeight="1">
      <c r="A40" s="75">
        <v>39</v>
      </c>
      <c r="B40" s="76" t="s">
        <v>1380</v>
      </c>
      <c r="C40" s="77" t="s">
        <v>1379</v>
      </c>
      <c r="D40" s="77" t="s">
        <v>1378</v>
      </c>
      <c r="E40" s="78" t="s">
        <v>6</v>
      </c>
      <c r="F40" s="77" t="s">
        <v>272</v>
      </c>
      <c r="G40" s="79" t="s">
        <v>1162</v>
      </c>
      <c r="H40" s="78"/>
      <c r="I40" s="78"/>
      <c r="J40" s="78" t="s">
        <v>3</v>
      </c>
      <c r="K40" s="81" t="s">
        <v>2</v>
      </c>
      <c r="L40" s="82">
        <f>IFERROR(VLOOKUP($B40,[1]Sheet2!$A:$L,11,FALSE()),"")</f>
        <v>45996</v>
      </c>
      <c r="M40" s="91">
        <v>46386</v>
      </c>
      <c r="N40" s="84">
        <v>46386</v>
      </c>
      <c r="O40" s="78" t="s">
        <v>1</v>
      </c>
      <c r="P40" s="78"/>
      <c r="Q40" s="78" t="str">
        <f>IFERROR(VLOOKUP($B40,[1]Sheet2!$A:$L,12,FALSE()),"")</f>
        <v>Dubai</v>
      </c>
      <c r="R40" s="85">
        <f t="shared" ca="1" si="0"/>
        <v>139</v>
      </c>
      <c r="S40" s="86" t="str">
        <f t="shared" ca="1" si="1"/>
        <v>✓ OK</v>
      </c>
    </row>
    <row r="41" spans="1:19" ht="15.75" customHeight="1">
      <c r="A41" s="75">
        <v>40</v>
      </c>
      <c r="B41" s="76" t="s">
        <v>1377</v>
      </c>
      <c r="C41" s="77" t="s">
        <v>1376</v>
      </c>
      <c r="D41" s="77" t="s">
        <v>1375</v>
      </c>
      <c r="E41" s="78" t="s">
        <v>6</v>
      </c>
      <c r="F41" s="77" t="s">
        <v>272</v>
      </c>
      <c r="G41" s="79" t="s">
        <v>1374</v>
      </c>
      <c r="H41" s="78"/>
      <c r="I41" s="78" t="s">
        <v>1373</v>
      </c>
      <c r="J41" s="78" t="s">
        <v>3</v>
      </c>
      <c r="K41" s="88" t="s">
        <v>42</v>
      </c>
      <c r="L41" s="82" t="str">
        <f>IFERROR(VLOOKUP($B41,[1]Sheet2!$A:$L,11,FALSE()),"")</f>
        <v/>
      </c>
      <c r="M41" s="90">
        <v>45291</v>
      </c>
      <c r="N41" s="78" t="s">
        <v>41</v>
      </c>
      <c r="O41" s="78" t="s">
        <v>1318</v>
      </c>
      <c r="P41" s="78"/>
      <c r="Q41" s="78" t="str">
        <f>IFERROR(VLOOKUP($B41,[1]Sheet2!$A:$L,12,FALSE()),"")</f>
        <v/>
      </c>
      <c r="R41" s="85">
        <f t="shared" ca="1" si="0"/>
        <v>-956</v>
      </c>
      <c r="S41" s="86" t="str">
        <f t="shared" ca="1" si="1"/>
        <v>EXPIRED</v>
      </c>
    </row>
    <row r="42" spans="1:19" ht="15.75" customHeight="1">
      <c r="A42" s="75">
        <v>41</v>
      </c>
      <c r="B42" s="76" t="s">
        <v>1372</v>
      </c>
      <c r="C42" s="77" t="s">
        <v>1371</v>
      </c>
      <c r="D42" s="77" t="s">
        <v>1371</v>
      </c>
      <c r="E42" s="78" t="s">
        <v>6</v>
      </c>
      <c r="F42" s="77" t="s">
        <v>5</v>
      </c>
      <c r="G42" s="79" t="s">
        <v>4</v>
      </c>
      <c r="H42" s="78"/>
      <c r="I42" s="78"/>
      <c r="J42" s="78" t="s">
        <v>15</v>
      </c>
      <c r="K42" s="81" t="s">
        <v>2</v>
      </c>
      <c r="L42" s="82">
        <f>IFERROR(VLOOKUP($B42,[1]Sheet2!$A:$L,11,FALSE()),"")</f>
        <v>45995</v>
      </c>
      <c r="M42" s="83">
        <v>46386</v>
      </c>
      <c r="N42" s="84">
        <v>46386</v>
      </c>
      <c r="O42" s="78" t="s">
        <v>1</v>
      </c>
      <c r="P42" s="78"/>
      <c r="Q42" s="78" t="str">
        <f>IFERROR(VLOOKUP($B42,[1]Sheet2!$A:$L,12,FALSE()),"")</f>
        <v>Dubai</v>
      </c>
      <c r="R42" s="85">
        <f t="shared" ca="1" si="0"/>
        <v>139</v>
      </c>
      <c r="S42" s="86" t="str">
        <f t="shared" ca="1" si="1"/>
        <v>✓ OK</v>
      </c>
    </row>
    <row r="43" spans="1:19" ht="15.75" customHeight="1">
      <c r="A43" s="75">
        <v>42</v>
      </c>
      <c r="B43" s="76" t="s">
        <v>1370</v>
      </c>
      <c r="C43" s="77" t="s">
        <v>1369</v>
      </c>
      <c r="D43" s="77" t="s">
        <v>5</v>
      </c>
      <c r="E43" s="78" t="s">
        <v>6</v>
      </c>
      <c r="F43" s="77" t="s">
        <v>5</v>
      </c>
      <c r="G43" s="79" t="s">
        <v>4</v>
      </c>
      <c r="H43" s="78"/>
      <c r="I43" s="78"/>
      <c r="J43" s="78" t="s">
        <v>45</v>
      </c>
      <c r="K43" s="81" t="s">
        <v>2</v>
      </c>
      <c r="L43" s="82">
        <f>IFERROR(VLOOKUP($B43,[1]Sheet2!$A:$L,11,FALSE()),"")</f>
        <v>45996</v>
      </c>
      <c r="M43" s="83">
        <v>46386</v>
      </c>
      <c r="N43" s="84">
        <v>46386</v>
      </c>
      <c r="O43" s="78" t="s">
        <v>1</v>
      </c>
      <c r="P43" s="78"/>
      <c r="Q43" s="78" t="str">
        <f>IFERROR(VLOOKUP($B43,[1]Sheet2!$A:$L,12,FALSE()),"")</f>
        <v>Dubai</v>
      </c>
      <c r="R43" s="85">
        <f t="shared" ca="1" si="0"/>
        <v>139</v>
      </c>
      <c r="S43" s="86" t="str">
        <f t="shared" ca="1" si="1"/>
        <v>✓ OK</v>
      </c>
    </row>
    <row r="44" spans="1:19" ht="15.75" customHeight="1">
      <c r="A44" s="75">
        <v>43</v>
      </c>
      <c r="B44" s="76" t="s">
        <v>1368</v>
      </c>
      <c r="C44" s="77" t="s">
        <v>1367</v>
      </c>
      <c r="D44" s="77" t="s">
        <v>1367</v>
      </c>
      <c r="E44" s="78" t="s">
        <v>6</v>
      </c>
      <c r="F44" s="77" t="s">
        <v>5</v>
      </c>
      <c r="G44" s="79" t="s">
        <v>4</v>
      </c>
      <c r="H44" s="78"/>
      <c r="I44" s="78"/>
      <c r="J44" s="78" t="s">
        <v>3</v>
      </c>
      <c r="K44" s="81" t="s">
        <v>2</v>
      </c>
      <c r="L44" s="82">
        <f>IFERROR(VLOOKUP($B44,[1]Sheet2!$A:$L,11,FALSE()),"")</f>
        <v>45993</v>
      </c>
      <c r="M44" s="83">
        <v>46386</v>
      </c>
      <c r="N44" s="84">
        <v>46386</v>
      </c>
      <c r="O44" s="78" t="s">
        <v>1</v>
      </c>
      <c r="P44" s="78"/>
      <c r="Q44" s="78" t="str">
        <f>IFERROR(VLOOKUP($B44,[1]Sheet2!$A:$L,12,FALSE()),"")</f>
        <v>Dubai</v>
      </c>
      <c r="R44" s="85">
        <f t="shared" ca="1" si="0"/>
        <v>139</v>
      </c>
      <c r="S44" s="86" t="str">
        <f t="shared" ca="1" si="1"/>
        <v>✓ OK</v>
      </c>
    </row>
    <row r="45" spans="1:19" ht="15.75" customHeight="1">
      <c r="A45" s="75">
        <v>44</v>
      </c>
      <c r="B45" s="76" t="s">
        <v>1366</v>
      </c>
      <c r="C45" s="77" t="s">
        <v>1365</v>
      </c>
      <c r="D45" s="77" t="s">
        <v>1364</v>
      </c>
      <c r="E45" s="78" t="s">
        <v>6</v>
      </c>
      <c r="F45" s="77" t="s">
        <v>5</v>
      </c>
      <c r="G45" s="79" t="s">
        <v>4</v>
      </c>
      <c r="H45" s="78"/>
      <c r="I45" s="78"/>
      <c r="J45" s="78" t="s">
        <v>99</v>
      </c>
      <c r="K45" s="81" t="s">
        <v>2</v>
      </c>
      <c r="L45" s="82">
        <f>IFERROR(VLOOKUP($B45,[1]Sheet2!$A:$L,11,FALSE()),"")</f>
        <v>45996</v>
      </c>
      <c r="M45" s="83">
        <v>46386</v>
      </c>
      <c r="N45" s="84">
        <v>46386</v>
      </c>
      <c r="O45" s="78" t="s">
        <v>1</v>
      </c>
      <c r="P45" s="78"/>
      <c r="Q45" s="78" t="str">
        <f>IFERROR(VLOOKUP($B45,[1]Sheet2!$A:$L,12,FALSE()),"")</f>
        <v>Dubai</v>
      </c>
      <c r="R45" s="85">
        <f t="shared" ca="1" si="0"/>
        <v>139</v>
      </c>
      <c r="S45" s="86" t="str">
        <f t="shared" ca="1" si="1"/>
        <v>✓ OK</v>
      </c>
    </row>
    <row r="46" spans="1:19" ht="15.75" customHeight="1">
      <c r="A46" s="75">
        <v>45</v>
      </c>
      <c r="B46" s="76" t="s">
        <v>1363</v>
      </c>
      <c r="C46" s="77" t="s">
        <v>1362</v>
      </c>
      <c r="D46" s="77"/>
      <c r="E46" s="78" t="s">
        <v>6</v>
      </c>
      <c r="F46" s="77" t="s">
        <v>5</v>
      </c>
      <c r="G46" s="79" t="s">
        <v>4</v>
      </c>
      <c r="H46" s="78"/>
      <c r="I46" s="78"/>
      <c r="J46" s="78" t="s">
        <v>99</v>
      </c>
      <c r="K46" s="88" t="s">
        <v>42</v>
      </c>
      <c r="L46" s="82" t="str">
        <f>IFERROR(VLOOKUP($B46,[1]Sheet2!$A:$L,11,FALSE()),"")</f>
        <v/>
      </c>
      <c r="M46" s="90">
        <v>46190</v>
      </c>
      <c r="N46" s="78" t="s">
        <v>41</v>
      </c>
      <c r="O46" s="78"/>
      <c r="P46" s="78"/>
      <c r="Q46" s="78" t="str">
        <f>IFERROR(VLOOKUP($B46,[1]Sheet2!$A:$L,12,FALSE()),"")</f>
        <v/>
      </c>
      <c r="R46" s="85">
        <f t="shared" ca="1" si="0"/>
        <v>-57</v>
      </c>
      <c r="S46" s="86" t="str">
        <f t="shared" ca="1" si="1"/>
        <v>EXPIRED</v>
      </c>
    </row>
    <row r="47" spans="1:19" ht="15.75" customHeight="1">
      <c r="A47" s="75">
        <v>46</v>
      </c>
      <c r="B47" s="76" t="s">
        <v>1361</v>
      </c>
      <c r="C47" s="77" t="s">
        <v>1360</v>
      </c>
      <c r="D47" s="77"/>
      <c r="E47" s="78" t="s">
        <v>6</v>
      </c>
      <c r="F47" s="77" t="s">
        <v>5</v>
      </c>
      <c r="G47" s="79" t="s">
        <v>4</v>
      </c>
      <c r="H47" s="78"/>
      <c r="I47" s="78"/>
      <c r="J47" s="78" t="s">
        <v>99</v>
      </c>
      <c r="K47" s="81" t="s">
        <v>2</v>
      </c>
      <c r="L47" s="82">
        <f>IFERROR(VLOOKUP($B47,[1]Sheet2!$A:$L,11,FALSE()),"")</f>
        <v>45993</v>
      </c>
      <c r="M47" s="83">
        <v>46386</v>
      </c>
      <c r="N47" s="84">
        <v>46386</v>
      </c>
      <c r="O47" s="78" t="s">
        <v>1</v>
      </c>
      <c r="P47" s="78"/>
      <c r="Q47" s="78" t="str">
        <f>IFERROR(VLOOKUP($B47,[1]Sheet2!$A:$L,12,FALSE()),"")</f>
        <v>Dubai</v>
      </c>
      <c r="R47" s="85">
        <f t="shared" ca="1" si="0"/>
        <v>139</v>
      </c>
      <c r="S47" s="86" t="str">
        <f t="shared" ca="1" si="1"/>
        <v>✓ OK</v>
      </c>
    </row>
    <row r="48" spans="1:19" ht="15.75" customHeight="1">
      <c r="A48" s="75">
        <v>47</v>
      </c>
      <c r="B48" s="76" t="s">
        <v>1359</v>
      </c>
      <c r="C48" s="77" t="s">
        <v>1358</v>
      </c>
      <c r="D48" s="77"/>
      <c r="E48" s="78" t="s">
        <v>6</v>
      </c>
      <c r="F48" s="77" t="s">
        <v>5</v>
      </c>
      <c r="G48" s="79" t="s">
        <v>1357</v>
      </c>
      <c r="H48" s="87" t="s">
        <v>1356</v>
      </c>
      <c r="I48" s="78" t="s">
        <v>1355</v>
      </c>
      <c r="J48" s="78" t="s">
        <v>1354</v>
      </c>
      <c r="K48" s="81" t="s">
        <v>42</v>
      </c>
      <c r="L48" s="82" t="str">
        <f>IFERROR(VLOOKUP($B48,[1]Sheet2!$A:$L,11,FALSE()),"")</f>
        <v/>
      </c>
      <c r="M48" s="83">
        <v>46386</v>
      </c>
      <c r="N48" s="84">
        <v>46386</v>
      </c>
      <c r="O48" s="78" t="s">
        <v>1</v>
      </c>
      <c r="P48" s="78"/>
      <c r="Q48" s="78" t="str">
        <f>IFERROR(VLOOKUP($B48,[1]Sheet2!$A:$L,12,FALSE()),"")</f>
        <v/>
      </c>
      <c r="R48" s="85">
        <f t="shared" ca="1" si="0"/>
        <v>139</v>
      </c>
      <c r="S48" s="86" t="str">
        <f t="shared" ca="1" si="1"/>
        <v>✓ OK</v>
      </c>
    </row>
    <row r="49" spans="1:19" ht="15.75" customHeight="1">
      <c r="A49" s="75">
        <v>48</v>
      </c>
      <c r="B49" s="76" t="s">
        <v>1353</v>
      </c>
      <c r="C49" s="77" t="s">
        <v>1352</v>
      </c>
      <c r="D49" s="77" t="s">
        <v>1351</v>
      </c>
      <c r="E49" s="78" t="s">
        <v>6</v>
      </c>
      <c r="F49" s="77" t="s">
        <v>272</v>
      </c>
      <c r="G49" s="79" t="s">
        <v>138</v>
      </c>
      <c r="H49" s="78"/>
      <c r="I49" s="78"/>
      <c r="J49" s="78" t="s">
        <v>692</v>
      </c>
      <c r="K49" s="88" t="s">
        <v>42</v>
      </c>
      <c r="L49" s="82" t="str">
        <f>IFERROR(VLOOKUP($B49,[1]Sheet2!$A:$L,11,FALSE()),"")</f>
        <v/>
      </c>
      <c r="M49" s="90">
        <v>46148</v>
      </c>
      <c r="N49" s="78" t="s">
        <v>133</v>
      </c>
      <c r="O49" s="78" t="s">
        <v>181</v>
      </c>
      <c r="P49" s="78"/>
      <c r="Q49" s="78" t="str">
        <f>IFERROR(VLOOKUP($B49,[1]Sheet2!$A:$L,12,FALSE()),"")</f>
        <v/>
      </c>
      <c r="R49" s="85">
        <f t="shared" ca="1" si="0"/>
        <v>-99</v>
      </c>
      <c r="S49" s="86" t="str">
        <f t="shared" ca="1" si="1"/>
        <v>EXPIRED</v>
      </c>
    </row>
    <row r="50" spans="1:19" ht="15.75" customHeight="1">
      <c r="A50" s="75">
        <v>49</v>
      </c>
      <c r="B50" s="76" t="s">
        <v>1350</v>
      </c>
      <c r="C50" s="77" t="s">
        <v>1349</v>
      </c>
      <c r="D50" s="77"/>
      <c r="E50" s="78" t="s">
        <v>6</v>
      </c>
      <c r="F50" s="77" t="s">
        <v>5</v>
      </c>
      <c r="G50" s="79" t="s">
        <v>4</v>
      </c>
      <c r="H50" s="78"/>
      <c r="I50" s="78"/>
      <c r="J50" s="78" t="s">
        <v>35</v>
      </c>
      <c r="K50" s="81" t="s">
        <v>2</v>
      </c>
      <c r="L50" s="82">
        <f>IFERROR(VLOOKUP($B50,[1]Sheet2!$A:$L,11,FALSE()),"")</f>
        <v>45996</v>
      </c>
      <c r="M50" s="83">
        <v>46386</v>
      </c>
      <c r="N50" s="84">
        <v>46386</v>
      </c>
      <c r="O50" s="78" t="s">
        <v>1</v>
      </c>
      <c r="P50" s="78"/>
      <c r="Q50" s="78" t="str">
        <f>IFERROR(VLOOKUP($B50,[1]Sheet2!$A:$L,12,FALSE()),"")</f>
        <v>Dubai</v>
      </c>
      <c r="R50" s="85">
        <f t="shared" ca="1" si="0"/>
        <v>139</v>
      </c>
      <c r="S50" s="86" t="str">
        <f t="shared" ca="1" si="1"/>
        <v>✓ OK</v>
      </c>
    </row>
    <row r="51" spans="1:19" ht="15.75" customHeight="1">
      <c r="A51" s="75">
        <v>50</v>
      </c>
      <c r="B51" s="76" t="s">
        <v>1348</v>
      </c>
      <c r="C51" s="77" t="s">
        <v>1347</v>
      </c>
      <c r="D51" s="77"/>
      <c r="E51" s="78" t="s">
        <v>6</v>
      </c>
      <c r="F51" s="77" t="s">
        <v>5</v>
      </c>
      <c r="G51" s="79" t="s">
        <v>1138</v>
      </c>
      <c r="H51" s="78" t="s">
        <v>1346</v>
      </c>
      <c r="I51" s="78" t="s">
        <v>62</v>
      </c>
      <c r="J51" s="80" t="s">
        <v>680</v>
      </c>
      <c r="K51" s="88" t="s">
        <v>42</v>
      </c>
      <c r="L51" s="82" t="str">
        <f>IFERROR(VLOOKUP($B51,[1]Sheet2!$A:$L,11,FALSE()),"")</f>
        <v/>
      </c>
      <c r="M51" s="90">
        <v>46128</v>
      </c>
      <c r="N51" s="89">
        <v>46386</v>
      </c>
      <c r="O51" s="78" t="s">
        <v>1345</v>
      </c>
      <c r="P51" s="80"/>
      <c r="Q51" s="80" t="str">
        <f>IFERROR(VLOOKUP($B51,[1]Sheet2!$A:$L,12,FALSE()),"")</f>
        <v/>
      </c>
      <c r="R51" s="85">
        <f t="shared" ca="1" si="0"/>
        <v>-119</v>
      </c>
      <c r="S51" s="86" t="str">
        <f t="shared" ca="1" si="1"/>
        <v>EXPIRED</v>
      </c>
    </row>
    <row r="52" spans="1:19" ht="15.75" customHeight="1">
      <c r="A52" s="75">
        <v>51</v>
      </c>
      <c r="B52" s="76" t="s">
        <v>1344</v>
      </c>
      <c r="C52" s="77" t="s">
        <v>1343</v>
      </c>
      <c r="D52" s="77" t="s">
        <v>1343</v>
      </c>
      <c r="E52" s="78" t="s">
        <v>6</v>
      </c>
      <c r="F52" s="92" t="s">
        <v>272</v>
      </c>
      <c r="G52" s="79" t="s">
        <v>1334</v>
      </c>
      <c r="H52" s="78"/>
      <c r="I52" s="78"/>
      <c r="J52" s="78" t="s">
        <v>1342</v>
      </c>
      <c r="K52" s="81" t="s">
        <v>2</v>
      </c>
      <c r="L52" s="82">
        <f>IFERROR(VLOOKUP($B52,[1]Sheet2!$A:$L,11,FALSE()),"")</f>
        <v>45995</v>
      </c>
      <c r="M52" s="83">
        <v>46386</v>
      </c>
      <c r="N52" s="84">
        <v>46386</v>
      </c>
      <c r="O52" s="78" t="s">
        <v>1</v>
      </c>
      <c r="P52" s="78" t="s">
        <v>0</v>
      </c>
      <c r="Q52" s="78" t="str">
        <f>IFERROR(VLOOKUP($B52,[1]Sheet2!$A:$L,12,FALSE()),"")</f>
        <v>Dubai</v>
      </c>
      <c r="R52" s="85">
        <f t="shared" ca="1" si="0"/>
        <v>139</v>
      </c>
      <c r="S52" s="86" t="str">
        <f t="shared" ca="1" si="1"/>
        <v>✓ OK</v>
      </c>
    </row>
    <row r="53" spans="1:19" ht="15.75" customHeight="1">
      <c r="A53" s="75">
        <v>52</v>
      </c>
      <c r="B53" s="76" t="s">
        <v>1341</v>
      </c>
      <c r="C53" s="77" t="s">
        <v>1340</v>
      </c>
      <c r="D53" s="77"/>
      <c r="E53" s="78" t="s">
        <v>6</v>
      </c>
      <c r="F53" s="77" t="s">
        <v>5</v>
      </c>
      <c r="G53" s="79" t="s">
        <v>4</v>
      </c>
      <c r="H53" s="78"/>
      <c r="I53" s="78"/>
      <c r="J53" s="78" t="s">
        <v>45</v>
      </c>
      <c r="K53" s="88" t="s">
        <v>42</v>
      </c>
      <c r="L53" s="82" t="str">
        <f>IFERROR(VLOOKUP($B53,[1]Sheet2!$A:$L,11,FALSE()),"")</f>
        <v/>
      </c>
      <c r="M53" s="90">
        <v>45621</v>
      </c>
      <c r="N53" s="78" t="s">
        <v>133</v>
      </c>
      <c r="O53" s="78" t="s">
        <v>181</v>
      </c>
      <c r="P53" s="78"/>
      <c r="Q53" s="78" t="str">
        <f>IFERROR(VLOOKUP($B53,[1]Sheet2!$A:$L,12,FALSE()),"")</f>
        <v/>
      </c>
      <c r="R53" s="85">
        <f t="shared" ca="1" si="0"/>
        <v>-626</v>
      </c>
      <c r="S53" s="86" t="str">
        <f t="shared" ca="1" si="1"/>
        <v>EXPIRED</v>
      </c>
    </row>
    <row r="54" spans="1:19" ht="15.75" customHeight="1">
      <c r="A54" s="75">
        <v>53</v>
      </c>
      <c r="B54" s="76" t="s">
        <v>1339</v>
      </c>
      <c r="C54" s="77" t="s">
        <v>1338</v>
      </c>
      <c r="D54" s="77"/>
      <c r="E54" s="78" t="s">
        <v>6</v>
      </c>
      <c r="F54" s="77" t="s">
        <v>5</v>
      </c>
      <c r="G54" s="79" t="s">
        <v>4</v>
      </c>
      <c r="H54" s="78"/>
      <c r="I54" s="78"/>
      <c r="J54" s="78" t="s">
        <v>1337</v>
      </c>
      <c r="K54" s="81" t="s">
        <v>2</v>
      </c>
      <c r="L54" s="82">
        <f>IFERROR(VLOOKUP($B54,[1]Sheet2!$A:$L,11,FALSE()),"")</f>
        <v>45993</v>
      </c>
      <c r="M54" s="83">
        <v>46386</v>
      </c>
      <c r="N54" s="84">
        <v>46386</v>
      </c>
      <c r="O54" s="78" t="s">
        <v>1</v>
      </c>
      <c r="P54" s="78"/>
      <c r="Q54" s="78" t="str">
        <f>IFERROR(VLOOKUP($B54,[1]Sheet2!$A:$L,12,FALSE()),"")</f>
        <v>Dubai</v>
      </c>
      <c r="R54" s="85">
        <f t="shared" ca="1" si="0"/>
        <v>139</v>
      </c>
      <c r="S54" s="86" t="str">
        <f t="shared" ca="1" si="1"/>
        <v>✓ OK</v>
      </c>
    </row>
    <row r="55" spans="1:19" ht="15.75" customHeight="1">
      <c r="A55" s="75">
        <v>54</v>
      </c>
      <c r="B55" s="76" t="s">
        <v>1336</v>
      </c>
      <c r="C55" s="77" t="s">
        <v>1335</v>
      </c>
      <c r="D55" s="77" t="s">
        <v>1335</v>
      </c>
      <c r="E55" s="78" t="s">
        <v>6</v>
      </c>
      <c r="F55" s="77" t="s">
        <v>272</v>
      </c>
      <c r="G55" s="79" t="s">
        <v>1334</v>
      </c>
      <c r="H55" s="78"/>
      <c r="I55" s="78"/>
      <c r="J55" s="78" t="s">
        <v>1333</v>
      </c>
      <c r="K55" s="81" t="s">
        <v>2</v>
      </c>
      <c r="L55" s="82">
        <f>IFERROR(VLOOKUP($B55,[1]Sheet2!$A:$L,11,FALSE()),"")</f>
        <v>45996</v>
      </c>
      <c r="M55" s="83">
        <v>46386</v>
      </c>
      <c r="N55" s="84">
        <v>46386</v>
      </c>
      <c r="O55" s="78" t="s">
        <v>1</v>
      </c>
      <c r="P55" s="78"/>
      <c r="Q55" s="78" t="str">
        <f>IFERROR(VLOOKUP($B55,[1]Sheet2!$A:$L,12,FALSE()),"")</f>
        <v>Dubai</v>
      </c>
      <c r="R55" s="85">
        <f t="shared" ca="1" si="0"/>
        <v>139</v>
      </c>
      <c r="S55" s="86" t="str">
        <f t="shared" ca="1" si="1"/>
        <v>✓ OK</v>
      </c>
    </row>
    <row r="56" spans="1:19" ht="15.75" customHeight="1">
      <c r="A56" s="75">
        <v>55</v>
      </c>
      <c r="B56" s="76" t="s">
        <v>1332</v>
      </c>
      <c r="C56" s="77" t="s">
        <v>1331</v>
      </c>
      <c r="D56" s="77" t="s">
        <v>614</v>
      </c>
      <c r="E56" s="78" t="s">
        <v>6</v>
      </c>
      <c r="F56" s="77" t="s">
        <v>5</v>
      </c>
      <c r="G56" s="79" t="s">
        <v>1330</v>
      </c>
      <c r="H56" s="78"/>
      <c r="I56" s="78"/>
      <c r="J56" s="78" t="s">
        <v>1329</v>
      </c>
      <c r="K56" s="81" t="s">
        <v>2</v>
      </c>
      <c r="L56" s="82">
        <f>IFERROR(VLOOKUP($B56,[1]Sheet2!$A:$L,11,FALSE()),"")</f>
        <v>45996</v>
      </c>
      <c r="M56" s="83">
        <v>46386</v>
      </c>
      <c r="N56" s="84">
        <v>46386</v>
      </c>
      <c r="O56" s="78" t="s">
        <v>1</v>
      </c>
      <c r="P56" s="78"/>
      <c r="Q56" s="78" t="str">
        <f>IFERROR(VLOOKUP($B56,[1]Sheet2!$A:$L,12,FALSE()),"")</f>
        <v>Dubai</v>
      </c>
      <c r="R56" s="85">
        <f t="shared" ca="1" si="0"/>
        <v>139</v>
      </c>
      <c r="S56" s="86" t="str">
        <f t="shared" ca="1" si="1"/>
        <v>✓ OK</v>
      </c>
    </row>
    <row r="57" spans="1:19" ht="15.75" customHeight="1">
      <c r="A57" s="75">
        <v>56</v>
      </c>
      <c r="B57" s="76" t="s">
        <v>1328</v>
      </c>
      <c r="C57" s="77" t="s">
        <v>1327</v>
      </c>
      <c r="D57" s="77" t="s">
        <v>614</v>
      </c>
      <c r="E57" s="78" t="s">
        <v>6</v>
      </c>
      <c r="F57" s="77" t="s">
        <v>5</v>
      </c>
      <c r="G57" s="79" t="s">
        <v>4</v>
      </c>
      <c r="H57" s="78"/>
      <c r="I57" s="78"/>
      <c r="J57" s="78" t="s">
        <v>1326</v>
      </c>
      <c r="K57" s="81" t="s">
        <v>2</v>
      </c>
      <c r="L57" s="82" t="s">
        <v>10</v>
      </c>
      <c r="M57" s="83">
        <v>46386</v>
      </c>
      <c r="N57" s="84">
        <v>46386</v>
      </c>
      <c r="O57" s="78" t="s">
        <v>1</v>
      </c>
      <c r="P57" s="78"/>
      <c r="Q57" s="78" t="s">
        <v>57</v>
      </c>
      <c r="R57" s="85">
        <f t="shared" ca="1" si="0"/>
        <v>139</v>
      </c>
      <c r="S57" s="86" t="str">
        <f t="shared" ca="1" si="1"/>
        <v>✓ OK</v>
      </c>
    </row>
    <row r="58" spans="1:19" ht="15.75" customHeight="1">
      <c r="A58" s="75">
        <v>57</v>
      </c>
      <c r="B58" s="76" t="s">
        <v>1325</v>
      </c>
      <c r="C58" s="77" t="s">
        <v>1324</v>
      </c>
      <c r="D58" s="77" t="s">
        <v>614</v>
      </c>
      <c r="E58" s="78" t="s">
        <v>6</v>
      </c>
      <c r="F58" s="77" t="s">
        <v>5</v>
      </c>
      <c r="G58" s="79" t="s">
        <v>4</v>
      </c>
      <c r="H58" s="78"/>
      <c r="I58" s="78"/>
      <c r="J58" s="78" t="s">
        <v>1323</v>
      </c>
      <c r="K58" s="81" t="s">
        <v>2</v>
      </c>
      <c r="L58" s="82">
        <f>IFERROR(VLOOKUP($B58,[1]Sheet2!$A:$L,11,FALSE()),"")</f>
        <v>45996</v>
      </c>
      <c r="M58" s="83">
        <v>46386</v>
      </c>
      <c r="N58" s="84">
        <v>46386</v>
      </c>
      <c r="O58" s="78" t="s">
        <v>1</v>
      </c>
      <c r="P58" s="78"/>
      <c r="Q58" s="78" t="str">
        <f>IFERROR(VLOOKUP($B58,[1]Sheet2!$A:$L,12,FALSE()),"")</f>
        <v>Dubai</v>
      </c>
      <c r="R58" s="85">
        <f t="shared" ca="1" si="0"/>
        <v>139</v>
      </c>
      <c r="S58" s="86" t="str">
        <f t="shared" ca="1" si="1"/>
        <v>✓ OK</v>
      </c>
    </row>
    <row r="59" spans="1:19" ht="15.75" customHeight="1">
      <c r="A59" s="75">
        <v>58</v>
      </c>
      <c r="B59" s="76" t="s">
        <v>1322</v>
      </c>
      <c r="C59" s="77" t="s">
        <v>1321</v>
      </c>
      <c r="D59" s="77" t="s">
        <v>614</v>
      </c>
      <c r="E59" s="78" t="s">
        <v>6</v>
      </c>
      <c r="F59" s="77" t="s">
        <v>5</v>
      </c>
      <c r="G59" s="79" t="s">
        <v>4</v>
      </c>
      <c r="H59" s="78"/>
      <c r="I59" s="78"/>
      <c r="J59" s="78" t="s">
        <v>1319</v>
      </c>
      <c r="K59" s="81" t="s">
        <v>2</v>
      </c>
      <c r="L59" s="82">
        <f>IFERROR(VLOOKUP($B59,[1]Sheet2!$A:$L,11,FALSE()),"")</f>
        <v>46190</v>
      </c>
      <c r="M59" s="83">
        <v>46386</v>
      </c>
      <c r="N59" s="84">
        <v>46386</v>
      </c>
      <c r="O59" s="78" t="s">
        <v>1</v>
      </c>
      <c r="P59" s="78"/>
      <c r="Q59" s="78" t="str">
        <f>IFERROR(VLOOKUP($B59,[1]Sheet2!$A:$L,12,FALSE()),"")</f>
        <v>Dubai</v>
      </c>
      <c r="R59" s="85">
        <f t="shared" ca="1" si="0"/>
        <v>139</v>
      </c>
      <c r="S59" s="86" t="str">
        <f t="shared" ca="1" si="1"/>
        <v>✓ OK</v>
      </c>
    </row>
    <row r="60" spans="1:19" ht="15.75" customHeight="1">
      <c r="A60" s="75">
        <v>59</v>
      </c>
      <c r="B60" s="76" t="s">
        <v>1320</v>
      </c>
      <c r="C60" s="77" t="s">
        <v>1000</v>
      </c>
      <c r="D60" s="77" t="s">
        <v>614</v>
      </c>
      <c r="E60" s="78" t="s">
        <v>6</v>
      </c>
      <c r="F60" s="77" t="s">
        <v>5</v>
      </c>
      <c r="G60" s="79" t="s">
        <v>4</v>
      </c>
      <c r="H60" s="78"/>
      <c r="I60" s="78"/>
      <c r="J60" s="78" t="s">
        <v>1319</v>
      </c>
      <c r="K60" s="88" t="s">
        <v>42</v>
      </c>
      <c r="L60" s="82" t="str">
        <f>IFERROR(VLOOKUP($B60,[1]Sheet2!$A:$L,11,FALSE()),"")</f>
        <v/>
      </c>
      <c r="M60" s="83">
        <v>44925</v>
      </c>
      <c r="N60" s="78" t="s">
        <v>41</v>
      </c>
      <c r="O60" s="78" t="s">
        <v>1318</v>
      </c>
      <c r="P60" s="78"/>
      <c r="Q60" s="78" t="str">
        <f>IFERROR(VLOOKUP($B60,[1]Sheet2!$A:$L,12,FALSE()),"")</f>
        <v/>
      </c>
      <c r="R60" s="85">
        <f t="shared" ca="1" si="0"/>
        <v>-1322</v>
      </c>
      <c r="S60" s="86" t="str">
        <f t="shared" ca="1" si="1"/>
        <v>EXPIRED</v>
      </c>
    </row>
    <row r="61" spans="1:19" ht="15.75" customHeight="1">
      <c r="A61" s="75">
        <v>60</v>
      </c>
      <c r="B61" s="76" t="s">
        <v>1317</v>
      </c>
      <c r="C61" s="77" t="s">
        <v>1316</v>
      </c>
      <c r="D61" s="77" t="s">
        <v>1316</v>
      </c>
      <c r="E61" s="78" t="s">
        <v>6</v>
      </c>
      <c r="F61" s="77" t="s">
        <v>272</v>
      </c>
      <c r="G61" s="79" t="s">
        <v>1315</v>
      </c>
      <c r="H61" s="78"/>
      <c r="I61" s="78"/>
      <c r="J61" s="78" t="s">
        <v>1314</v>
      </c>
      <c r="K61" s="81" t="s">
        <v>2</v>
      </c>
      <c r="L61" s="82">
        <f>IFERROR(VLOOKUP($B61,[1]Sheet2!$A:$L,11,FALSE()),"")</f>
        <v>45996</v>
      </c>
      <c r="M61" s="83">
        <v>46386</v>
      </c>
      <c r="N61" s="84">
        <v>46386</v>
      </c>
      <c r="O61" s="78" t="s">
        <v>1</v>
      </c>
      <c r="P61" s="78"/>
      <c r="Q61" s="78" t="str">
        <f>IFERROR(VLOOKUP($B61,[1]Sheet2!$A:$L,12,FALSE()),"")</f>
        <v>Dubai</v>
      </c>
      <c r="R61" s="85">
        <f t="shared" ca="1" si="0"/>
        <v>139</v>
      </c>
      <c r="S61" s="86" t="str">
        <f t="shared" ca="1" si="1"/>
        <v>✓ OK</v>
      </c>
    </row>
    <row r="62" spans="1:19" ht="15.75" customHeight="1">
      <c r="A62" s="75">
        <v>61</v>
      </c>
      <c r="B62" s="76" t="s">
        <v>1313</v>
      </c>
      <c r="C62" s="77" t="s">
        <v>1312</v>
      </c>
      <c r="D62" s="77" t="s">
        <v>1131</v>
      </c>
      <c r="E62" s="78" t="s">
        <v>6</v>
      </c>
      <c r="F62" s="77" t="s">
        <v>5</v>
      </c>
      <c r="G62" s="79" t="s">
        <v>4</v>
      </c>
      <c r="H62" s="78"/>
      <c r="I62" s="78"/>
      <c r="J62" s="78" t="s">
        <v>198</v>
      </c>
      <c r="K62" s="88" t="s">
        <v>42</v>
      </c>
      <c r="L62" s="82" t="str">
        <f>IFERROR(VLOOKUP($B62,[1]Sheet2!$A:$L,11,FALSE()),"")</f>
        <v/>
      </c>
      <c r="M62" s="90">
        <v>45800</v>
      </c>
      <c r="N62" s="78" t="s">
        <v>41</v>
      </c>
      <c r="O62" s="78" t="s">
        <v>40</v>
      </c>
      <c r="P62" s="78"/>
      <c r="Q62" s="78" t="str">
        <f>IFERROR(VLOOKUP($B62,[1]Sheet2!$A:$L,12,FALSE()),"")</f>
        <v/>
      </c>
      <c r="R62" s="85">
        <f t="shared" ca="1" si="0"/>
        <v>-447</v>
      </c>
      <c r="S62" s="86" t="str">
        <f t="shared" ca="1" si="1"/>
        <v>EXPIRED</v>
      </c>
    </row>
    <row r="63" spans="1:19" ht="15.75" customHeight="1">
      <c r="A63" s="75">
        <v>62</v>
      </c>
      <c r="B63" s="76" t="s">
        <v>1311</v>
      </c>
      <c r="C63" s="77" t="s">
        <v>1310</v>
      </c>
      <c r="D63" s="77" t="s">
        <v>1131</v>
      </c>
      <c r="E63" s="78" t="s">
        <v>6</v>
      </c>
      <c r="F63" s="77" t="s">
        <v>5</v>
      </c>
      <c r="G63" s="79" t="s">
        <v>4</v>
      </c>
      <c r="H63" s="78"/>
      <c r="I63" s="78"/>
      <c r="J63" s="78" t="s">
        <v>45</v>
      </c>
      <c r="K63" s="88" t="s">
        <v>42</v>
      </c>
      <c r="L63" s="82" t="str">
        <f>IFERROR(VLOOKUP($B63,[1]Sheet2!$A:$L,11,FALSE()),"")</f>
        <v/>
      </c>
      <c r="M63" s="90">
        <v>45800</v>
      </c>
      <c r="N63" s="78" t="s">
        <v>41</v>
      </c>
      <c r="O63" s="78" t="s">
        <v>40</v>
      </c>
      <c r="P63" s="78"/>
      <c r="Q63" s="78" t="str">
        <f>IFERROR(VLOOKUP($B63,[1]Sheet2!$A:$L,12,FALSE()),"")</f>
        <v/>
      </c>
      <c r="R63" s="85">
        <f t="shared" ca="1" si="0"/>
        <v>-447</v>
      </c>
      <c r="S63" s="86" t="str">
        <f t="shared" ca="1" si="1"/>
        <v>EXPIRED</v>
      </c>
    </row>
    <row r="64" spans="1:19" ht="15.75" customHeight="1">
      <c r="A64" s="75">
        <v>63</v>
      </c>
      <c r="B64" s="76" t="s">
        <v>1309</v>
      </c>
      <c r="C64" s="77" t="s">
        <v>1308</v>
      </c>
      <c r="D64" s="77" t="s">
        <v>1131</v>
      </c>
      <c r="E64" s="78" t="s">
        <v>6</v>
      </c>
      <c r="F64" s="77" t="s">
        <v>5</v>
      </c>
      <c r="G64" s="79" t="s">
        <v>1130</v>
      </c>
      <c r="H64" s="78"/>
      <c r="I64" s="78"/>
      <c r="J64" s="78" t="s">
        <v>1129</v>
      </c>
      <c r="K64" s="81" t="s">
        <v>2</v>
      </c>
      <c r="L64" s="82">
        <f>IFERROR(VLOOKUP($B64,[1]Sheet2!$A:$L,11,FALSE()),"")</f>
        <v>45996</v>
      </c>
      <c r="M64" s="83">
        <v>46386</v>
      </c>
      <c r="N64" s="84">
        <v>46386</v>
      </c>
      <c r="O64" s="78" t="s">
        <v>1</v>
      </c>
      <c r="P64" s="78"/>
      <c r="Q64" s="78" t="str">
        <f>IFERROR(VLOOKUP($B64,[1]Sheet2!$A:$L,12,FALSE()),"")</f>
        <v>Dubai</v>
      </c>
      <c r="R64" s="85">
        <f t="shared" ca="1" si="0"/>
        <v>139</v>
      </c>
      <c r="S64" s="86" t="str">
        <f t="shared" ca="1" si="1"/>
        <v>✓ OK</v>
      </c>
    </row>
    <row r="65" spans="1:19" ht="15.75" customHeight="1">
      <c r="A65" s="75">
        <v>64</v>
      </c>
      <c r="B65" s="76" t="s">
        <v>1307</v>
      </c>
      <c r="C65" s="77" t="s">
        <v>1306</v>
      </c>
      <c r="D65" s="77" t="s">
        <v>1131</v>
      </c>
      <c r="E65" s="78" t="s">
        <v>6</v>
      </c>
      <c r="F65" s="77" t="s">
        <v>5</v>
      </c>
      <c r="G65" s="79" t="s">
        <v>1130</v>
      </c>
      <c r="H65" s="78"/>
      <c r="I65" s="78"/>
      <c r="J65" s="78" t="s">
        <v>99</v>
      </c>
      <c r="K65" s="88" t="s">
        <v>42</v>
      </c>
      <c r="L65" s="82" t="str">
        <f>IFERROR(VLOOKUP($B65,[1]Sheet2!$A:$L,11,FALSE()),"")</f>
        <v/>
      </c>
      <c r="M65" s="90">
        <v>46163</v>
      </c>
      <c r="N65" s="78" t="s">
        <v>41</v>
      </c>
      <c r="O65" s="78" t="s">
        <v>40</v>
      </c>
      <c r="P65" s="78"/>
      <c r="Q65" s="78" t="str">
        <f>IFERROR(VLOOKUP($B65,[1]Sheet2!$A:$L,12,FALSE()),"")</f>
        <v/>
      </c>
      <c r="R65" s="85">
        <f t="shared" ca="1" si="0"/>
        <v>-84</v>
      </c>
      <c r="S65" s="86" t="str">
        <f t="shared" ca="1" si="1"/>
        <v>EXPIRED</v>
      </c>
    </row>
    <row r="66" spans="1:19" ht="15.75" customHeight="1">
      <c r="A66" s="75">
        <v>65</v>
      </c>
      <c r="B66" s="76" t="s">
        <v>1265</v>
      </c>
      <c r="C66" s="77" t="s">
        <v>1264</v>
      </c>
      <c r="D66" s="77" t="s">
        <v>1131</v>
      </c>
      <c r="E66" s="78" t="s">
        <v>6</v>
      </c>
      <c r="F66" s="77" t="s">
        <v>5</v>
      </c>
      <c r="G66" s="79" t="s">
        <v>4</v>
      </c>
      <c r="H66" s="78"/>
      <c r="I66" s="78"/>
      <c r="J66" s="78" t="s">
        <v>1305</v>
      </c>
      <c r="K66" s="81" t="s">
        <v>2</v>
      </c>
      <c r="L66" s="82">
        <f>IFERROR(VLOOKUP($B66,[1]Sheet2!$A:$L,11,FALSE()),"")</f>
        <v>45996</v>
      </c>
      <c r="M66" s="83">
        <v>46386</v>
      </c>
      <c r="N66" s="84">
        <v>46386</v>
      </c>
      <c r="O66" s="78" t="s">
        <v>1</v>
      </c>
      <c r="P66" s="78"/>
      <c r="Q66" s="78" t="str">
        <f>IFERROR(VLOOKUP($B66,[1]Sheet2!$A:$L,12,FALSE()),"")</f>
        <v>Dubai</v>
      </c>
      <c r="R66" s="85">
        <f t="shared" ref="R66:R129" ca="1" si="2">IF(ISNUMBER(M66),INT(M66)-INT(TODAY()),"")</f>
        <v>139</v>
      </c>
      <c r="S66" s="86" t="str">
        <f t="shared" ref="S66:S129" ca="1" si="3">IF(R66="","—",IF(R66&lt;0,"EXPIRED",IF(R66&lt;=30,"⚠ EXPIRES SOON",IF(R66&lt;=90,"⚡ 90 Days","✓ OK"))))</f>
        <v>✓ OK</v>
      </c>
    </row>
    <row r="67" spans="1:19" ht="15.75" customHeight="1">
      <c r="A67" s="75">
        <v>66</v>
      </c>
      <c r="B67" s="76" t="s">
        <v>1304</v>
      </c>
      <c r="C67" s="77" t="s">
        <v>1303</v>
      </c>
      <c r="D67" s="77" t="s">
        <v>1131</v>
      </c>
      <c r="E67" s="78" t="s">
        <v>6</v>
      </c>
      <c r="F67" s="77" t="s">
        <v>5</v>
      </c>
      <c r="G67" s="79" t="s">
        <v>4</v>
      </c>
      <c r="H67" s="78"/>
      <c r="I67" s="78"/>
      <c r="J67" s="78" t="s">
        <v>45</v>
      </c>
      <c r="K67" s="88" t="s">
        <v>42</v>
      </c>
      <c r="L67" s="82" t="str">
        <f>IFERROR(VLOOKUP($B67,[1]Sheet2!$A:$L,11,FALSE()),"")</f>
        <v/>
      </c>
      <c r="M67" s="90">
        <v>45800</v>
      </c>
      <c r="N67" s="78" t="s">
        <v>41</v>
      </c>
      <c r="O67" s="78" t="s">
        <v>40</v>
      </c>
      <c r="P67" s="78"/>
      <c r="Q67" s="78" t="str">
        <f>IFERROR(VLOOKUP($B67,[1]Sheet2!$A:$L,12,FALSE()),"")</f>
        <v/>
      </c>
      <c r="R67" s="85">
        <f t="shared" ca="1" si="2"/>
        <v>-447</v>
      </c>
      <c r="S67" s="86" t="str">
        <f t="shared" ca="1" si="3"/>
        <v>EXPIRED</v>
      </c>
    </row>
    <row r="68" spans="1:19" ht="15.75" customHeight="1">
      <c r="A68" s="75">
        <v>67</v>
      </c>
      <c r="B68" s="76" t="s">
        <v>1302</v>
      </c>
      <c r="C68" s="77" t="s">
        <v>1301</v>
      </c>
      <c r="D68" s="77" t="s">
        <v>1131</v>
      </c>
      <c r="E68" s="78" t="s">
        <v>6</v>
      </c>
      <c r="F68" s="77" t="s">
        <v>5</v>
      </c>
      <c r="G68" s="79" t="s">
        <v>4</v>
      </c>
      <c r="H68" s="78"/>
      <c r="I68" s="78"/>
      <c r="J68" s="78" t="s">
        <v>1206</v>
      </c>
      <c r="K68" s="81" t="s">
        <v>2</v>
      </c>
      <c r="L68" s="82">
        <f>IFERROR(VLOOKUP($B68,[1]Sheet2!$A:$L,11,FALSE()),"")</f>
        <v>45996</v>
      </c>
      <c r="M68" s="83">
        <v>46386</v>
      </c>
      <c r="N68" s="84">
        <v>46386</v>
      </c>
      <c r="O68" s="78" t="s">
        <v>1</v>
      </c>
      <c r="P68" s="78"/>
      <c r="Q68" s="78" t="str">
        <f>IFERROR(VLOOKUP($B68,[1]Sheet2!$A:$L,12,FALSE()),"")</f>
        <v>Dubai</v>
      </c>
      <c r="R68" s="85">
        <f t="shared" ca="1" si="2"/>
        <v>139</v>
      </c>
      <c r="S68" s="86" t="str">
        <f t="shared" ca="1" si="3"/>
        <v>✓ OK</v>
      </c>
    </row>
    <row r="69" spans="1:19" ht="15.75" customHeight="1">
      <c r="A69" s="75">
        <v>68</v>
      </c>
      <c r="B69" s="76" t="s">
        <v>1300</v>
      </c>
      <c r="C69" s="77" t="s">
        <v>1299</v>
      </c>
      <c r="D69" s="77" t="s">
        <v>1131</v>
      </c>
      <c r="E69" s="78" t="s">
        <v>6</v>
      </c>
      <c r="F69" s="77" t="s">
        <v>5</v>
      </c>
      <c r="G69" s="79" t="s">
        <v>4</v>
      </c>
      <c r="H69" s="78"/>
      <c r="I69" s="78"/>
      <c r="J69" s="78" t="s">
        <v>1186</v>
      </c>
      <c r="K69" s="88" t="s">
        <v>42</v>
      </c>
      <c r="L69" s="82" t="str">
        <f>IFERROR(VLOOKUP($B69,[1]Sheet2!$A:$L,11,FALSE()),"")</f>
        <v/>
      </c>
      <c r="M69" s="90">
        <v>45798</v>
      </c>
      <c r="N69" s="78" t="s">
        <v>41</v>
      </c>
      <c r="O69" s="78" t="s">
        <v>40</v>
      </c>
      <c r="P69" s="78"/>
      <c r="Q69" s="78" t="str">
        <f>IFERROR(VLOOKUP($B69,[1]Sheet2!$A:$L,12,FALSE()),"")</f>
        <v/>
      </c>
      <c r="R69" s="85">
        <f t="shared" ca="1" si="2"/>
        <v>-449</v>
      </c>
      <c r="S69" s="86" t="str">
        <f t="shared" ca="1" si="3"/>
        <v>EXPIRED</v>
      </c>
    </row>
    <row r="70" spans="1:19" ht="15.75" customHeight="1">
      <c r="A70" s="75">
        <v>69</v>
      </c>
      <c r="B70" s="76" t="s">
        <v>1298</v>
      </c>
      <c r="C70" s="77" t="s">
        <v>1297</v>
      </c>
      <c r="D70" s="77" t="s">
        <v>1131</v>
      </c>
      <c r="E70" s="78" t="s">
        <v>6</v>
      </c>
      <c r="F70" s="77" t="s">
        <v>5</v>
      </c>
      <c r="G70" s="79" t="s">
        <v>4</v>
      </c>
      <c r="H70" s="78"/>
      <c r="I70" s="78"/>
      <c r="J70" s="78" t="s">
        <v>1167</v>
      </c>
      <c r="K70" s="81" t="s">
        <v>2</v>
      </c>
      <c r="L70" s="82">
        <f>IFERROR(VLOOKUP($B70,[1]Sheet2!$A:$L,11,FALSE()),"")</f>
        <v>45996</v>
      </c>
      <c r="M70" s="83">
        <v>46386</v>
      </c>
      <c r="N70" s="84">
        <v>46386</v>
      </c>
      <c r="O70" s="78" t="s">
        <v>1</v>
      </c>
      <c r="P70" s="78"/>
      <c r="Q70" s="78" t="str">
        <f>IFERROR(VLOOKUP($B70,[1]Sheet2!$A:$L,12,FALSE()),"")</f>
        <v>Dubai</v>
      </c>
      <c r="R70" s="85">
        <f t="shared" ca="1" si="2"/>
        <v>139</v>
      </c>
      <c r="S70" s="86" t="str">
        <f t="shared" ca="1" si="3"/>
        <v>✓ OK</v>
      </c>
    </row>
    <row r="71" spans="1:19" ht="15.75" customHeight="1">
      <c r="A71" s="75">
        <v>70</v>
      </c>
      <c r="B71" s="76" t="s">
        <v>1296</v>
      </c>
      <c r="C71" s="77" t="s">
        <v>1295</v>
      </c>
      <c r="D71" s="77" t="s">
        <v>1131</v>
      </c>
      <c r="E71" s="78" t="s">
        <v>6</v>
      </c>
      <c r="F71" s="77" t="s">
        <v>5</v>
      </c>
      <c r="G71" s="79" t="s">
        <v>4</v>
      </c>
      <c r="H71" s="78"/>
      <c r="I71" s="78"/>
      <c r="J71" s="78" t="s">
        <v>1215</v>
      </c>
      <c r="K71" s="81" t="s">
        <v>2</v>
      </c>
      <c r="L71" s="82">
        <f>IFERROR(VLOOKUP($B71,[1]Sheet2!$A:$L,11,FALSE()),"")</f>
        <v>45996</v>
      </c>
      <c r="M71" s="83">
        <v>46386</v>
      </c>
      <c r="N71" s="84">
        <v>46386</v>
      </c>
      <c r="O71" s="78" t="s">
        <v>1</v>
      </c>
      <c r="P71" s="78"/>
      <c r="Q71" s="78" t="str">
        <f>IFERROR(VLOOKUP($B71,[1]Sheet2!$A:$L,12,FALSE()),"")</f>
        <v>Dubai</v>
      </c>
      <c r="R71" s="85">
        <f t="shared" ca="1" si="2"/>
        <v>139</v>
      </c>
      <c r="S71" s="86" t="str">
        <f t="shared" ca="1" si="3"/>
        <v>✓ OK</v>
      </c>
    </row>
    <row r="72" spans="1:19" ht="15.75" customHeight="1">
      <c r="A72" s="75">
        <v>71</v>
      </c>
      <c r="B72" s="76" t="s">
        <v>1294</v>
      </c>
      <c r="C72" s="77" t="s">
        <v>1293</v>
      </c>
      <c r="D72" s="77" t="s">
        <v>1131</v>
      </c>
      <c r="E72" s="78" t="s">
        <v>6</v>
      </c>
      <c r="F72" s="77" t="s">
        <v>5</v>
      </c>
      <c r="G72" s="79" t="s">
        <v>1130</v>
      </c>
      <c r="H72" s="78"/>
      <c r="I72" s="78"/>
      <c r="J72" s="78" t="s">
        <v>99</v>
      </c>
      <c r="K72" s="88" t="s">
        <v>42</v>
      </c>
      <c r="L72" s="82" t="str">
        <f>IFERROR(VLOOKUP($B72,[1]Sheet2!$A:$L,11,FALSE()),"")</f>
        <v/>
      </c>
      <c r="M72" s="90">
        <v>45986</v>
      </c>
      <c r="N72" s="78" t="s">
        <v>41</v>
      </c>
      <c r="O72" s="78" t="s">
        <v>40</v>
      </c>
      <c r="P72" s="78"/>
      <c r="Q72" s="78" t="str">
        <f>IFERROR(VLOOKUP($B72,[1]Sheet2!$A:$L,12,FALSE()),"")</f>
        <v/>
      </c>
      <c r="R72" s="85">
        <f t="shared" ca="1" si="2"/>
        <v>-261</v>
      </c>
      <c r="S72" s="86" t="str">
        <f t="shared" ca="1" si="3"/>
        <v>EXPIRED</v>
      </c>
    </row>
    <row r="73" spans="1:19" ht="15.75" customHeight="1">
      <c r="A73" s="75">
        <v>72</v>
      </c>
      <c r="B73" s="76" t="s">
        <v>1292</v>
      </c>
      <c r="C73" s="77" t="s">
        <v>1291</v>
      </c>
      <c r="D73" s="77" t="s">
        <v>1131</v>
      </c>
      <c r="E73" s="78" t="s">
        <v>6</v>
      </c>
      <c r="F73" s="77" t="s">
        <v>5</v>
      </c>
      <c r="G73" s="79" t="s">
        <v>1130</v>
      </c>
      <c r="H73" s="78"/>
      <c r="I73" s="78"/>
      <c r="J73" s="78" t="s">
        <v>1203</v>
      </c>
      <c r="K73" s="88" t="s">
        <v>42</v>
      </c>
      <c r="L73" s="82" t="str">
        <f>IFERROR(VLOOKUP($B73,[1]Sheet2!$A:$L,11,FALSE()),"")</f>
        <v/>
      </c>
      <c r="M73" s="90">
        <v>46022</v>
      </c>
      <c r="N73" s="78" t="s">
        <v>41</v>
      </c>
      <c r="O73" s="78" t="s">
        <v>40</v>
      </c>
      <c r="P73" s="78"/>
      <c r="Q73" s="78" t="str">
        <f>IFERROR(VLOOKUP($B73,[1]Sheet2!$A:$L,12,FALSE()),"")</f>
        <v/>
      </c>
      <c r="R73" s="85">
        <f t="shared" ca="1" si="2"/>
        <v>-225</v>
      </c>
      <c r="S73" s="86" t="str">
        <f t="shared" ca="1" si="3"/>
        <v>EXPIRED</v>
      </c>
    </row>
    <row r="74" spans="1:19" ht="15.75" customHeight="1">
      <c r="A74" s="75">
        <v>73</v>
      </c>
      <c r="B74" s="76" t="s">
        <v>1290</v>
      </c>
      <c r="C74" s="77" t="s">
        <v>1289</v>
      </c>
      <c r="D74" s="77" t="s">
        <v>1131</v>
      </c>
      <c r="E74" s="78" t="s">
        <v>6</v>
      </c>
      <c r="F74" s="77" t="s">
        <v>5</v>
      </c>
      <c r="G74" s="79" t="s">
        <v>1130</v>
      </c>
      <c r="H74" s="78"/>
      <c r="I74" s="78"/>
      <c r="J74" s="78" t="s">
        <v>1215</v>
      </c>
      <c r="K74" s="81" t="s">
        <v>2</v>
      </c>
      <c r="L74" s="82">
        <f>IFERROR(VLOOKUP($B74,[1]Sheet2!$A:$L,11,FALSE()),"")</f>
        <v>45996</v>
      </c>
      <c r="M74" s="83">
        <v>46386</v>
      </c>
      <c r="N74" s="84">
        <v>46386</v>
      </c>
      <c r="O74" s="78" t="s">
        <v>1</v>
      </c>
      <c r="P74" s="78"/>
      <c r="Q74" s="78" t="str">
        <f>IFERROR(VLOOKUP($B74,[1]Sheet2!$A:$L,12,FALSE()),"")</f>
        <v>Dubai</v>
      </c>
      <c r="R74" s="85">
        <f t="shared" ca="1" si="2"/>
        <v>139</v>
      </c>
      <c r="S74" s="86" t="str">
        <f t="shared" ca="1" si="3"/>
        <v>✓ OK</v>
      </c>
    </row>
    <row r="75" spans="1:19" ht="15.75" customHeight="1">
      <c r="A75" s="75">
        <v>74</v>
      </c>
      <c r="B75" s="76" t="s">
        <v>1288</v>
      </c>
      <c r="C75" s="77" t="s">
        <v>1287</v>
      </c>
      <c r="D75" s="77" t="s">
        <v>1131</v>
      </c>
      <c r="E75" s="78" t="s">
        <v>6</v>
      </c>
      <c r="F75" s="77" t="s">
        <v>5</v>
      </c>
      <c r="G75" s="79" t="s">
        <v>1130</v>
      </c>
      <c r="H75" s="78"/>
      <c r="I75" s="78"/>
      <c r="J75" s="78" t="s">
        <v>99</v>
      </c>
      <c r="K75" s="88" t="s">
        <v>42</v>
      </c>
      <c r="L75" s="82" t="str">
        <f>IFERROR(VLOOKUP($B75,[1]Sheet2!$A:$L,11,FALSE()),"")</f>
        <v/>
      </c>
      <c r="M75" s="90">
        <v>46021</v>
      </c>
      <c r="N75" s="78" t="s">
        <v>41</v>
      </c>
      <c r="O75" s="78" t="s">
        <v>40</v>
      </c>
      <c r="P75" s="78"/>
      <c r="Q75" s="78" t="str">
        <f>IFERROR(VLOOKUP($B75,[1]Sheet2!$A:$L,12,FALSE()),"")</f>
        <v/>
      </c>
      <c r="R75" s="85">
        <f t="shared" ca="1" si="2"/>
        <v>-226</v>
      </c>
      <c r="S75" s="86" t="str">
        <f t="shared" ca="1" si="3"/>
        <v>EXPIRED</v>
      </c>
    </row>
    <row r="76" spans="1:19" ht="15.75" customHeight="1">
      <c r="A76" s="75">
        <v>75</v>
      </c>
      <c r="B76" s="76" t="s">
        <v>1286</v>
      </c>
      <c r="C76" s="77" t="s">
        <v>1285</v>
      </c>
      <c r="D76" s="77" t="s">
        <v>1131</v>
      </c>
      <c r="E76" s="78" t="s">
        <v>6</v>
      </c>
      <c r="F76" s="77" t="s">
        <v>5</v>
      </c>
      <c r="G76" s="79" t="s">
        <v>1130</v>
      </c>
      <c r="H76" s="78"/>
      <c r="I76" s="78"/>
      <c r="J76" s="78" t="s">
        <v>198</v>
      </c>
      <c r="K76" s="88" t="s">
        <v>42</v>
      </c>
      <c r="L76" s="82" t="str">
        <f>IFERROR(VLOOKUP($B76,[1]Sheet2!$A:$L,11,FALSE()),"")</f>
        <v/>
      </c>
      <c r="M76" s="90">
        <v>45800</v>
      </c>
      <c r="N76" s="78" t="s">
        <v>41</v>
      </c>
      <c r="O76" s="78" t="s">
        <v>40</v>
      </c>
      <c r="P76" s="78"/>
      <c r="Q76" s="78" t="str">
        <f>IFERROR(VLOOKUP($B76,[1]Sheet2!$A:$L,12,FALSE()),"")</f>
        <v/>
      </c>
      <c r="R76" s="85">
        <f t="shared" ca="1" si="2"/>
        <v>-447</v>
      </c>
      <c r="S76" s="86" t="str">
        <f t="shared" ca="1" si="3"/>
        <v>EXPIRED</v>
      </c>
    </row>
    <row r="77" spans="1:19" ht="15.75" customHeight="1">
      <c r="A77" s="75">
        <v>76</v>
      </c>
      <c r="B77" s="76" t="s">
        <v>1284</v>
      </c>
      <c r="C77" s="77" t="s">
        <v>1283</v>
      </c>
      <c r="D77" s="77" t="s">
        <v>1131</v>
      </c>
      <c r="E77" s="78" t="s">
        <v>6</v>
      </c>
      <c r="F77" s="77" t="s">
        <v>5</v>
      </c>
      <c r="G77" s="79" t="s">
        <v>1130</v>
      </c>
      <c r="H77" s="78"/>
      <c r="I77" s="78"/>
      <c r="J77" s="78" t="s">
        <v>1215</v>
      </c>
      <c r="K77" s="81" t="s">
        <v>2</v>
      </c>
      <c r="L77" s="82">
        <f>IFERROR(VLOOKUP($B77,[1]Sheet2!$A:$L,11,FALSE()),"")</f>
        <v>45996</v>
      </c>
      <c r="M77" s="83">
        <v>46386</v>
      </c>
      <c r="N77" s="84">
        <v>46386</v>
      </c>
      <c r="O77" s="78" t="s">
        <v>1</v>
      </c>
      <c r="P77" s="78"/>
      <c r="Q77" s="78" t="str">
        <f>IFERROR(VLOOKUP($B77,[1]Sheet2!$A:$L,12,FALSE()),"")</f>
        <v>Dubai</v>
      </c>
      <c r="R77" s="85">
        <f t="shared" ca="1" si="2"/>
        <v>139</v>
      </c>
      <c r="S77" s="86" t="str">
        <f t="shared" ca="1" si="3"/>
        <v>✓ OK</v>
      </c>
    </row>
    <row r="78" spans="1:19" ht="15.75" customHeight="1">
      <c r="A78" s="75">
        <v>77</v>
      </c>
      <c r="B78" s="76" t="s">
        <v>1282</v>
      </c>
      <c r="C78" s="77" t="s">
        <v>1281</v>
      </c>
      <c r="D78" s="77" t="s">
        <v>1131</v>
      </c>
      <c r="E78" s="78" t="s">
        <v>6</v>
      </c>
      <c r="F78" s="77" t="s">
        <v>5</v>
      </c>
      <c r="G78" s="79" t="s">
        <v>1130</v>
      </c>
      <c r="H78" s="78"/>
      <c r="I78" s="78"/>
      <c r="J78" s="78" t="s">
        <v>1215</v>
      </c>
      <c r="K78" s="81" t="s">
        <v>2</v>
      </c>
      <c r="L78" s="82">
        <f>IFERROR(VLOOKUP($B78,[1]Sheet2!$A:$L,11,FALSE()),"")</f>
        <v>45996</v>
      </c>
      <c r="M78" s="83">
        <v>46386</v>
      </c>
      <c r="N78" s="84">
        <v>46386</v>
      </c>
      <c r="O78" s="78" t="s">
        <v>1</v>
      </c>
      <c r="P78" s="78"/>
      <c r="Q78" s="78" t="str">
        <f>IFERROR(VLOOKUP($B78,[1]Sheet2!$A:$L,12,FALSE()),"")</f>
        <v>Dubai</v>
      </c>
      <c r="R78" s="85">
        <f t="shared" ca="1" si="2"/>
        <v>139</v>
      </c>
      <c r="S78" s="86" t="str">
        <f t="shared" ca="1" si="3"/>
        <v>✓ OK</v>
      </c>
    </row>
    <row r="79" spans="1:19" ht="15.75" customHeight="1">
      <c r="A79" s="75">
        <v>78</v>
      </c>
      <c r="B79" s="76" t="s">
        <v>1280</v>
      </c>
      <c r="C79" s="77" t="s">
        <v>1279</v>
      </c>
      <c r="D79" s="77" t="s">
        <v>1131</v>
      </c>
      <c r="E79" s="78" t="s">
        <v>6</v>
      </c>
      <c r="F79" s="77" t="s">
        <v>5</v>
      </c>
      <c r="G79" s="79" t="s">
        <v>1130</v>
      </c>
      <c r="H79" s="78"/>
      <c r="I79" s="78"/>
      <c r="J79" s="78" t="s">
        <v>198</v>
      </c>
      <c r="K79" s="88" t="s">
        <v>42</v>
      </c>
      <c r="L79" s="82" t="str">
        <f>IFERROR(VLOOKUP($B79,[1]Sheet2!$A:$L,11,FALSE()),"")</f>
        <v/>
      </c>
      <c r="M79" s="90">
        <v>45800</v>
      </c>
      <c r="N79" s="78" t="s">
        <v>41</v>
      </c>
      <c r="O79" s="78" t="s">
        <v>40</v>
      </c>
      <c r="P79" s="78"/>
      <c r="Q79" s="78" t="str">
        <f>IFERROR(VLOOKUP($B79,[1]Sheet2!$A:$L,12,FALSE()),"")</f>
        <v/>
      </c>
      <c r="R79" s="85">
        <f t="shared" ca="1" si="2"/>
        <v>-447</v>
      </c>
      <c r="S79" s="86" t="str">
        <f t="shared" ca="1" si="3"/>
        <v>EXPIRED</v>
      </c>
    </row>
    <row r="80" spans="1:19" ht="15.75" customHeight="1">
      <c r="A80" s="75">
        <v>79</v>
      </c>
      <c r="B80" s="76" t="s">
        <v>1278</v>
      </c>
      <c r="C80" s="77" t="s">
        <v>1277</v>
      </c>
      <c r="D80" s="77" t="s">
        <v>1131</v>
      </c>
      <c r="E80" s="78" t="s">
        <v>6</v>
      </c>
      <c r="F80" s="77" t="s">
        <v>5</v>
      </c>
      <c r="G80" s="79" t="s">
        <v>1130</v>
      </c>
      <c r="H80" s="78"/>
      <c r="I80" s="78"/>
      <c r="J80" s="78" t="s">
        <v>1215</v>
      </c>
      <c r="K80" s="81" t="s">
        <v>2</v>
      </c>
      <c r="L80" s="82">
        <f>IFERROR(VLOOKUP($B80,[1]Sheet2!$A:$L,11,FALSE()),"")</f>
        <v>45996</v>
      </c>
      <c r="M80" s="83">
        <v>46386</v>
      </c>
      <c r="N80" s="84">
        <v>46386</v>
      </c>
      <c r="O80" s="78" t="s">
        <v>1</v>
      </c>
      <c r="P80" s="78"/>
      <c r="Q80" s="78" t="str">
        <f>IFERROR(VLOOKUP($B80,[1]Sheet2!$A:$L,12,FALSE()),"")</f>
        <v>Dubai</v>
      </c>
      <c r="R80" s="85">
        <f t="shared" ca="1" si="2"/>
        <v>139</v>
      </c>
      <c r="S80" s="86" t="str">
        <f t="shared" ca="1" si="3"/>
        <v>✓ OK</v>
      </c>
    </row>
    <row r="81" spans="1:19" ht="15.75" customHeight="1">
      <c r="A81" s="75">
        <v>80</v>
      </c>
      <c r="B81" s="76" t="s">
        <v>1276</v>
      </c>
      <c r="C81" s="77" t="s">
        <v>1275</v>
      </c>
      <c r="D81" s="77" t="s">
        <v>1131</v>
      </c>
      <c r="E81" s="78" t="s">
        <v>6</v>
      </c>
      <c r="F81" s="77" t="s">
        <v>5</v>
      </c>
      <c r="G81" s="79" t="s">
        <v>1130</v>
      </c>
      <c r="H81" s="78"/>
      <c r="I81" s="78"/>
      <c r="J81" s="78" t="s">
        <v>198</v>
      </c>
      <c r="K81" s="88" t="s">
        <v>42</v>
      </c>
      <c r="L81" s="82" t="str">
        <f>IFERROR(VLOOKUP($B81,[1]Sheet2!$A:$L,11,FALSE()),"")</f>
        <v/>
      </c>
      <c r="M81" s="90">
        <v>45800</v>
      </c>
      <c r="N81" s="78" t="s">
        <v>41</v>
      </c>
      <c r="O81" s="78" t="s">
        <v>40</v>
      </c>
      <c r="P81" s="78"/>
      <c r="Q81" s="78" t="str">
        <f>IFERROR(VLOOKUP($B81,[1]Sheet2!$A:$L,12,FALSE()),"")</f>
        <v/>
      </c>
      <c r="R81" s="85">
        <f t="shared" ca="1" si="2"/>
        <v>-447</v>
      </c>
      <c r="S81" s="86" t="str">
        <f t="shared" ca="1" si="3"/>
        <v>EXPIRED</v>
      </c>
    </row>
    <row r="82" spans="1:19" ht="15.75" customHeight="1">
      <c r="A82" s="75">
        <v>81</v>
      </c>
      <c r="B82" s="76" t="s">
        <v>1274</v>
      </c>
      <c r="C82" s="77" t="s">
        <v>1273</v>
      </c>
      <c r="D82" s="77" t="s">
        <v>1131</v>
      </c>
      <c r="E82" s="78" t="s">
        <v>6</v>
      </c>
      <c r="F82" s="77" t="s">
        <v>5</v>
      </c>
      <c r="G82" s="79" t="s">
        <v>1130</v>
      </c>
      <c r="H82" s="78"/>
      <c r="I82" s="78"/>
      <c r="J82" s="78" t="s">
        <v>1272</v>
      </c>
      <c r="K82" s="88" t="s">
        <v>42</v>
      </c>
      <c r="L82" s="82" t="str">
        <f>IFERROR(VLOOKUP($B82,[1]Sheet2!$A:$L,11,FALSE()),"")</f>
        <v/>
      </c>
      <c r="M82" s="90">
        <v>45800</v>
      </c>
      <c r="N82" s="78" t="s">
        <v>41</v>
      </c>
      <c r="O82" s="78" t="s">
        <v>40</v>
      </c>
      <c r="P82" s="78"/>
      <c r="Q82" s="78" t="str">
        <f>IFERROR(VLOOKUP($B82,[1]Sheet2!$A:$L,12,FALSE()),"")</f>
        <v/>
      </c>
      <c r="R82" s="85">
        <f t="shared" ca="1" si="2"/>
        <v>-447</v>
      </c>
      <c r="S82" s="86" t="str">
        <f t="shared" ca="1" si="3"/>
        <v>EXPIRED</v>
      </c>
    </row>
    <row r="83" spans="1:19" ht="15.75" customHeight="1">
      <c r="A83" s="75">
        <v>82</v>
      </c>
      <c r="B83" s="76" t="s">
        <v>1271</v>
      </c>
      <c r="C83" s="77" t="s">
        <v>1270</v>
      </c>
      <c r="D83" s="77" t="s">
        <v>1131</v>
      </c>
      <c r="E83" s="78" t="s">
        <v>6</v>
      </c>
      <c r="F83" s="77" t="s">
        <v>5</v>
      </c>
      <c r="G83" s="79" t="s">
        <v>1130</v>
      </c>
      <c r="H83" s="78"/>
      <c r="I83" s="78"/>
      <c r="J83" s="78" t="s">
        <v>198</v>
      </c>
      <c r="K83" s="88" t="s">
        <v>42</v>
      </c>
      <c r="L83" s="82" t="str">
        <f>IFERROR(VLOOKUP($B83,[1]Sheet2!$A:$L,11,FALSE()),"")</f>
        <v/>
      </c>
      <c r="M83" s="90">
        <v>45800</v>
      </c>
      <c r="N83" s="78" t="s">
        <v>41</v>
      </c>
      <c r="O83" s="78" t="s">
        <v>40</v>
      </c>
      <c r="P83" s="78"/>
      <c r="Q83" s="78" t="str">
        <f>IFERROR(VLOOKUP($B83,[1]Sheet2!$A:$L,12,FALSE()),"")</f>
        <v/>
      </c>
      <c r="R83" s="85">
        <f t="shared" ca="1" si="2"/>
        <v>-447</v>
      </c>
      <c r="S83" s="86" t="str">
        <f t="shared" ca="1" si="3"/>
        <v>EXPIRED</v>
      </c>
    </row>
    <row r="84" spans="1:19" ht="15.75" customHeight="1">
      <c r="A84" s="75">
        <v>83</v>
      </c>
      <c r="B84" s="76" t="s">
        <v>1269</v>
      </c>
      <c r="C84" s="77" t="s">
        <v>1268</v>
      </c>
      <c r="D84" s="77" t="s">
        <v>1131</v>
      </c>
      <c r="E84" s="78" t="s">
        <v>6</v>
      </c>
      <c r="F84" s="77" t="s">
        <v>5</v>
      </c>
      <c r="G84" s="79" t="s">
        <v>1130</v>
      </c>
      <c r="H84" s="78"/>
      <c r="I84" s="78"/>
      <c r="J84" s="78" t="s">
        <v>198</v>
      </c>
      <c r="K84" s="88" t="s">
        <v>42</v>
      </c>
      <c r="L84" s="82" t="str">
        <f>IFERROR(VLOOKUP($B84,[1]Sheet2!$A:$L,11,FALSE()),"")</f>
        <v/>
      </c>
      <c r="M84" s="90">
        <v>45800</v>
      </c>
      <c r="N84" s="78" t="s">
        <v>41</v>
      </c>
      <c r="O84" s="78" t="s">
        <v>40</v>
      </c>
      <c r="P84" s="78"/>
      <c r="Q84" s="78" t="str">
        <f>IFERROR(VLOOKUP($B84,[1]Sheet2!$A:$L,12,FALSE()),"")</f>
        <v/>
      </c>
      <c r="R84" s="85">
        <f t="shared" ca="1" si="2"/>
        <v>-447</v>
      </c>
      <c r="S84" s="86" t="str">
        <f t="shared" ca="1" si="3"/>
        <v>EXPIRED</v>
      </c>
    </row>
    <row r="85" spans="1:19" ht="15.75" customHeight="1">
      <c r="A85" s="75">
        <v>84</v>
      </c>
      <c r="B85" s="76" t="s">
        <v>1267</v>
      </c>
      <c r="C85" s="77" t="s">
        <v>1266</v>
      </c>
      <c r="D85" s="77" t="s">
        <v>1131</v>
      </c>
      <c r="E85" s="78" t="s">
        <v>6</v>
      </c>
      <c r="F85" s="77" t="s">
        <v>5</v>
      </c>
      <c r="G85" s="79" t="s">
        <v>1130</v>
      </c>
      <c r="H85" s="78"/>
      <c r="I85" s="78"/>
      <c r="J85" s="78" t="s">
        <v>1203</v>
      </c>
      <c r="K85" s="88" t="s">
        <v>42</v>
      </c>
      <c r="L85" s="82" t="str">
        <f>IFERROR(VLOOKUP($B85,[1]Sheet2!$A:$L,11,FALSE()),"")</f>
        <v/>
      </c>
      <c r="M85" s="90">
        <v>45800</v>
      </c>
      <c r="N85" s="78" t="s">
        <v>41</v>
      </c>
      <c r="O85" s="78" t="s">
        <v>40</v>
      </c>
      <c r="P85" s="78"/>
      <c r="Q85" s="78" t="str">
        <f>IFERROR(VLOOKUP($B85,[1]Sheet2!$A:$L,12,FALSE()),"")</f>
        <v/>
      </c>
      <c r="R85" s="85">
        <f t="shared" ca="1" si="2"/>
        <v>-447</v>
      </c>
      <c r="S85" s="86" t="str">
        <f t="shared" ca="1" si="3"/>
        <v>EXPIRED</v>
      </c>
    </row>
    <row r="86" spans="1:19" ht="15.75" customHeight="1">
      <c r="A86" s="75">
        <v>85</v>
      </c>
      <c r="B86" s="76" t="s">
        <v>1265</v>
      </c>
      <c r="C86" s="77" t="s">
        <v>1264</v>
      </c>
      <c r="D86" s="77" t="s">
        <v>1131</v>
      </c>
      <c r="E86" s="78" t="s">
        <v>6</v>
      </c>
      <c r="F86" s="77" t="s">
        <v>5</v>
      </c>
      <c r="G86" s="79" t="s">
        <v>1130</v>
      </c>
      <c r="H86" s="78"/>
      <c r="I86" s="78"/>
      <c r="J86" s="78" t="s">
        <v>1215</v>
      </c>
      <c r="K86" s="81" t="s">
        <v>2</v>
      </c>
      <c r="L86" s="82">
        <f>IFERROR(VLOOKUP($B86,[1]Sheet2!$A:$L,11,FALSE()),"")</f>
        <v>45996</v>
      </c>
      <c r="M86" s="83">
        <v>46386</v>
      </c>
      <c r="N86" s="84">
        <v>46386</v>
      </c>
      <c r="O86" s="78" t="s">
        <v>1</v>
      </c>
      <c r="P86" s="78"/>
      <c r="Q86" s="78" t="str">
        <f>IFERROR(VLOOKUP($B86,[1]Sheet2!$A:$L,12,FALSE()),"")</f>
        <v>Dubai</v>
      </c>
      <c r="R86" s="85">
        <f t="shared" ca="1" si="2"/>
        <v>139</v>
      </c>
      <c r="S86" s="86" t="str">
        <f t="shared" ca="1" si="3"/>
        <v>✓ OK</v>
      </c>
    </row>
    <row r="87" spans="1:19" ht="15.75" customHeight="1">
      <c r="A87" s="75">
        <v>86</v>
      </c>
      <c r="B87" s="76" t="s">
        <v>1263</v>
      </c>
      <c r="C87" s="77" t="s">
        <v>1262</v>
      </c>
      <c r="D87" s="77" t="s">
        <v>1131</v>
      </c>
      <c r="E87" s="78" t="s">
        <v>6</v>
      </c>
      <c r="F87" s="77" t="s">
        <v>5</v>
      </c>
      <c r="G87" s="79" t="s">
        <v>1130</v>
      </c>
      <c r="H87" s="78"/>
      <c r="I87" s="78"/>
      <c r="J87" s="78" t="s">
        <v>198</v>
      </c>
      <c r="K87" s="88" t="s">
        <v>42</v>
      </c>
      <c r="L87" s="82" t="str">
        <f>IFERROR(VLOOKUP($B87,[1]Sheet2!$A:$L,11,FALSE()),"")</f>
        <v/>
      </c>
      <c r="M87" s="90">
        <v>45800</v>
      </c>
      <c r="N87" s="78" t="s">
        <v>41</v>
      </c>
      <c r="O87" s="78" t="s">
        <v>40</v>
      </c>
      <c r="P87" s="78"/>
      <c r="Q87" s="78" t="str">
        <f>IFERROR(VLOOKUP($B87,[1]Sheet2!$A:$L,12,FALSE()),"")</f>
        <v/>
      </c>
      <c r="R87" s="85">
        <f t="shared" ca="1" si="2"/>
        <v>-447</v>
      </c>
      <c r="S87" s="86" t="str">
        <f t="shared" ca="1" si="3"/>
        <v>EXPIRED</v>
      </c>
    </row>
    <row r="88" spans="1:19" ht="15.75" customHeight="1">
      <c r="A88" s="75">
        <v>87</v>
      </c>
      <c r="B88" s="76" t="s">
        <v>1261</v>
      </c>
      <c r="C88" s="77" t="s">
        <v>1260</v>
      </c>
      <c r="D88" s="77" t="s">
        <v>1131</v>
      </c>
      <c r="E88" s="78" t="s">
        <v>6</v>
      </c>
      <c r="F88" s="77" t="s">
        <v>5</v>
      </c>
      <c r="G88" s="79" t="s">
        <v>1130</v>
      </c>
      <c r="H88" s="78"/>
      <c r="I88" s="78"/>
      <c r="J88" s="80" t="s">
        <v>1129</v>
      </c>
      <c r="K88" s="81" t="s">
        <v>2</v>
      </c>
      <c r="L88" s="82">
        <f>IFERROR(VLOOKUP($B88,[1]Sheet2!$A:$L,11,FALSE()),"")</f>
        <v>45996</v>
      </c>
      <c r="M88" s="83">
        <v>46386</v>
      </c>
      <c r="N88" s="84">
        <v>46386</v>
      </c>
      <c r="O88" s="78" t="s">
        <v>1</v>
      </c>
      <c r="P88" s="78"/>
      <c r="Q88" s="78" t="str">
        <f>IFERROR(VLOOKUP($B88,[1]Sheet2!$A:$L,12,FALSE()),"")</f>
        <v>Dubai</v>
      </c>
      <c r="R88" s="85">
        <f t="shared" ca="1" si="2"/>
        <v>139</v>
      </c>
      <c r="S88" s="86" t="str">
        <f t="shared" ca="1" si="3"/>
        <v>✓ OK</v>
      </c>
    </row>
    <row r="89" spans="1:19" ht="15.75" customHeight="1">
      <c r="A89" s="75">
        <v>88</v>
      </c>
      <c r="B89" s="76" t="s">
        <v>1259</v>
      </c>
      <c r="C89" s="77" t="s">
        <v>1258</v>
      </c>
      <c r="D89" s="77" t="s">
        <v>1131</v>
      </c>
      <c r="E89" s="78" t="s">
        <v>6</v>
      </c>
      <c r="F89" s="77" t="s">
        <v>5</v>
      </c>
      <c r="G89" s="79" t="s">
        <v>1130</v>
      </c>
      <c r="H89" s="78"/>
      <c r="I89" s="78"/>
      <c r="J89" s="78" t="s">
        <v>45</v>
      </c>
      <c r="K89" s="88" t="s">
        <v>42</v>
      </c>
      <c r="L89" s="82" t="str">
        <f>IFERROR(VLOOKUP($B89,[1]Sheet2!$A:$L,11,FALSE()),"")</f>
        <v/>
      </c>
      <c r="M89" s="90">
        <v>45800</v>
      </c>
      <c r="N89" s="78" t="s">
        <v>41</v>
      </c>
      <c r="O89" s="78" t="s">
        <v>40</v>
      </c>
      <c r="P89" s="78"/>
      <c r="Q89" s="78" t="str">
        <f>IFERROR(VLOOKUP($B89,[1]Sheet2!$A:$L,12,FALSE()),"")</f>
        <v/>
      </c>
      <c r="R89" s="85">
        <f t="shared" ca="1" si="2"/>
        <v>-447</v>
      </c>
      <c r="S89" s="86" t="str">
        <f t="shared" ca="1" si="3"/>
        <v>EXPIRED</v>
      </c>
    </row>
    <row r="90" spans="1:19" ht="15.75" customHeight="1">
      <c r="A90" s="75">
        <v>89</v>
      </c>
      <c r="B90" s="76" t="s">
        <v>1257</v>
      </c>
      <c r="C90" s="77" t="s">
        <v>1256</v>
      </c>
      <c r="D90" s="77" t="s">
        <v>1131</v>
      </c>
      <c r="E90" s="78" t="s">
        <v>6</v>
      </c>
      <c r="F90" s="77" t="s">
        <v>5</v>
      </c>
      <c r="G90" s="79" t="s">
        <v>1130</v>
      </c>
      <c r="H90" s="78"/>
      <c r="I90" s="78"/>
      <c r="J90" s="78" t="s">
        <v>45</v>
      </c>
      <c r="K90" s="88" t="s">
        <v>42</v>
      </c>
      <c r="L90" s="82" t="str">
        <f>IFERROR(VLOOKUP($B90,[1]Sheet2!$A:$L,11,FALSE()),"")</f>
        <v/>
      </c>
      <c r="M90" s="90">
        <v>45800</v>
      </c>
      <c r="N90" s="78" t="s">
        <v>41</v>
      </c>
      <c r="O90" s="78" t="s">
        <v>40</v>
      </c>
      <c r="P90" s="78"/>
      <c r="Q90" s="78" t="str">
        <f>IFERROR(VLOOKUP($B90,[1]Sheet2!$A:$L,12,FALSE()),"")</f>
        <v/>
      </c>
      <c r="R90" s="85">
        <f t="shared" ca="1" si="2"/>
        <v>-447</v>
      </c>
      <c r="S90" s="86" t="str">
        <f t="shared" ca="1" si="3"/>
        <v>EXPIRED</v>
      </c>
    </row>
    <row r="91" spans="1:19" ht="15.75" customHeight="1">
      <c r="A91" s="75">
        <v>90</v>
      </c>
      <c r="B91" s="76" t="s">
        <v>1255</v>
      </c>
      <c r="C91" s="77" t="s">
        <v>1254</v>
      </c>
      <c r="D91" s="77" t="s">
        <v>1131</v>
      </c>
      <c r="E91" s="78" t="s">
        <v>6</v>
      </c>
      <c r="F91" s="77" t="s">
        <v>5</v>
      </c>
      <c r="G91" s="79" t="s">
        <v>1130</v>
      </c>
      <c r="H91" s="78"/>
      <c r="I91" s="78"/>
      <c r="J91" s="78" t="s">
        <v>1253</v>
      </c>
      <c r="K91" s="88" t="s">
        <v>42</v>
      </c>
      <c r="L91" s="82" t="str">
        <f>IFERROR(VLOOKUP($B91,[1]Sheet2!$A:$L,11,FALSE()),"")</f>
        <v/>
      </c>
      <c r="M91" s="90">
        <v>45800</v>
      </c>
      <c r="N91" s="78" t="s">
        <v>41</v>
      </c>
      <c r="O91" s="78" t="s">
        <v>40</v>
      </c>
      <c r="P91" s="78"/>
      <c r="Q91" s="78" t="str">
        <f>IFERROR(VLOOKUP($B91,[1]Sheet2!$A:$L,12,FALSE()),"")</f>
        <v/>
      </c>
      <c r="R91" s="85">
        <f t="shared" ca="1" si="2"/>
        <v>-447</v>
      </c>
      <c r="S91" s="86" t="str">
        <f t="shared" ca="1" si="3"/>
        <v>EXPIRED</v>
      </c>
    </row>
    <row r="92" spans="1:19" ht="15.75" customHeight="1">
      <c r="A92" s="75">
        <v>91</v>
      </c>
      <c r="B92" s="76" t="s">
        <v>1252</v>
      </c>
      <c r="C92" s="77" t="s">
        <v>1251</v>
      </c>
      <c r="D92" s="77" t="s">
        <v>1131</v>
      </c>
      <c r="E92" s="78" t="s">
        <v>6</v>
      </c>
      <c r="F92" s="77" t="s">
        <v>5</v>
      </c>
      <c r="G92" s="79" t="s">
        <v>1130</v>
      </c>
      <c r="H92" s="78"/>
      <c r="I92" s="78"/>
      <c r="J92" s="78" t="s">
        <v>99</v>
      </c>
      <c r="K92" s="88" t="s">
        <v>42</v>
      </c>
      <c r="L92" s="82" t="str">
        <f>IFERROR(VLOOKUP($B92,[1]Sheet2!$A:$L,11,FALSE()),"")</f>
        <v/>
      </c>
      <c r="M92" s="90">
        <v>45800</v>
      </c>
      <c r="N92" s="78" t="s">
        <v>41</v>
      </c>
      <c r="O92" s="78" t="s">
        <v>40</v>
      </c>
      <c r="P92" s="78"/>
      <c r="Q92" s="78" t="str">
        <f>IFERROR(VLOOKUP($B92,[1]Sheet2!$A:$L,12,FALSE()),"")</f>
        <v/>
      </c>
      <c r="R92" s="85">
        <f t="shared" ca="1" si="2"/>
        <v>-447</v>
      </c>
      <c r="S92" s="86" t="str">
        <f t="shared" ca="1" si="3"/>
        <v>EXPIRED</v>
      </c>
    </row>
    <row r="93" spans="1:19" ht="15.75" customHeight="1">
      <c r="A93" s="75">
        <v>92</v>
      </c>
      <c r="B93" s="76" t="s">
        <v>1250</v>
      </c>
      <c r="C93" s="77" t="s">
        <v>1249</v>
      </c>
      <c r="D93" s="77" t="s">
        <v>1131</v>
      </c>
      <c r="E93" s="78" t="s">
        <v>6</v>
      </c>
      <c r="F93" s="77" t="s">
        <v>5</v>
      </c>
      <c r="G93" s="79" t="s">
        <v>1130</v>
      </c>
      <c r="H93" s="78"/>
      <c r="I93" s="78"/>
      <c r="J93" s="78" t="s">
        <v>45</v>
      </c>
      <c r="K93" s="88" t="s">
        <v>42</v>
      </c>
      <c r="L93" s="82" t="str">
        <f>IFERROR(VLOOKUP($B93,[1]Sheet2!$A:$L,11,FALSE()),"")</f>
        <v/>
      </c>
      <c r="M93" s="90">
        <v>45800</v>
      </c>
      <c r="N93" s="78" t="s">
        <v>41</v>
      </c>
      <c r="O93" s="78" t="s">
        <v>40</v>
      </c>
      <c r="P93" s="78"/>
      <c r="Q93" s="78" t="str">
        <f>IFERROR(VLOOKUP($B93,[1]Sheet2!$A:$L,12,FALSE()),"")</f>
        <v/>
      </c>
      <c r="R93" s="85">
        <f t="shared" ca="1" si="2"/>
        <v>-447</v>
      </c>
      <c r="S93" s="86" t="str">
        <f t="shared" ca="1" si="3"/>
        <v>EXPIRED</v>
      </c>
    </row>
    <row r="94" spans="1:19" ht="15.75" customHeight="1">
      <c r="A94" s="75">
        <v>93</v>
      </c>
      <c r="B94" s="76" t="s">
        <v>1248</v>
      </c>
      <c r="C94" s="77" t="s">
        <v>1247</v>
      </c>
      <c r="D94" s="77" t="s">
        <v>1131</v>
      </c>
      <c r="E94" s="78" t="s">
        <v>6</v>
      </c>
      <c r="F94" s="77" t="s">
        <v>5</v>
      </c>
      <c r="G94" s="79" t="s">
        <v>1130</v>
      </c>
      <c r="H94" s="78"/>
      <c r="I94" s="78"/>
      <c r="J94" s="78" t="s">
        <v>198</v>
      </c>
      <c r="K94" s="88" t="s">
        <v>42</v>
      </c>
      <c r="L94" s="82" t="str">
        <f>IFERROR(VLOOKUP($B94,[1]Sheet2!$A:$L,11,FALSE()),"")</f>
        <v/>
      </c>
      <c r="M94" s="90">
        <v>45800</v>
      </c>
      <c r="N94" s="78" t="s">
        <v>41</v>
      </c>
      <c r="O94" s="78" t="s">
        <v>40</v>
      </c>
      <c r="P94" s="78"/>
      <c r="Q94" s="78" t="str">
        <f>IFERROR(VLOOKUP($B94,[1]Sheet2!$A:$L,12,FALSE()),"")</f>
        <v/>
      </c>
      <c r="R94" s="85">
        <f t="shared" ca="1" si="2"/>
        <v>-447</v>
      </c>
      <c r="S94" s="86" t="str">
        <f t="shared" ca="1" si="3"/>
        <v>EXPIRED</v>
      </c>
    </row>
    <row r="95" spans="1:19" ht="15.75" customHeight="1">
      <c r="A95" s="75">
        <v>94</v>
      </c>
      <c r="B95" s="76" t="s">
        <v>1246</v>
      </c>
      <c r="C95" s="77" t="s">
        <v>1245</v>
      </c>
      <c r="D95" s="77" t="s">
        <v>1131</v>
      </c>
      <c r="E95" s="78" t="s">
        <v>6</v>
      </c>
      <c r="F95" s="77" t="s">
        <v>5</v>
      </c>
      <c r="G95" s="79" t="s">
        <v>1130</v>
      </c>
      <c r="H95" s="78"/>
      <c r="I95" s="78"/>
      <c r="J95" s="80" t="s">
        <v>1206</v>
      </c>
      <c r="K95" s="81" t="s">
        <v>2</v>
      </c>
      <c r="L95" s="82">
        <f>IFERROR(VLOOKUP($B95,[1]Sheet2!$A:$L,11,FALSE()),"")</f>
        <v>45996</v>
      </c>
      <c r="M95" s="83">
        <v>46386</v>
      </c>
      <c r="N95" s="84">
        <v>46386</v>
      </c>
      <c r="O95" s="78" t="s">
        <v>1</v>
      </c>
      <c r="P95" s="78"/>
      <c r="Q95" s="78" t="str">
        <f>IFERROR(VLOOKUP($B95,[1]Sheet2!$A:$L,12,FALSE()),"")</f>
        <v>Dubai</v>
      </c>
      <c r="R95" s="85">
        <f t="shared" ca="1" si="2"/>
        <v>139</v>
      </c>
      <c r="S95" s="86" t="str">
        <f t="shared" ca="1" si="3"/>
        <v>✓ OK</v>
      </c>
    </row>
    <row r="96" spans="1:19" ht="15.75" customHeight="1">
      <c r="A96" s="75">
        <v>95</v>
      </c>
      <c r="B96" s="76" t="s">
        <v>1244</v>
      </c>
      <c r="C96" s="77" t="s">
        <v>1243</v>
      </c>
      <c r="D96" s="77" t="s">
        <v>1131</v>
      </c>
      <c r="E96" s="78" t="s">
        <v>6</v>
      </c>
      <c r="F96" s="77" t="s">
        <v>5</v>
      </c>
      <c r="G96" s="79" t="s">
        <v>1130</v>
      </c>
      <c r="H96" s="78"/>
      <c r="I96" s="78"/>
      <c r="J96" s="78" t="s">
        <v>99</v>
      </c>
      <c r="K96" s="88" t="s">
        <v>42</v>
      </c>
      <c r="L96" s="82" t="str">
        <f>IFERROR(VLOOKUP($B96,[1]Sheet2!$A:$L,11,FALSE()),"")</f>
        <v/>
      </c>
      <c r="M96" s="90">
        <v>46022</v>
      </c>
      <c r="N96" s="78" t="s">
        <v>41</v>
      </c>
      <c r="O96" s="78" t="s">
        <v>40</v>
      </c>
      <c r="P96" s="78"/>
      <c r="Q96" s="78" t="str">
        <f>IFERROR(VLOOKUP($B96,[1]Sheet2!$A:$L,12,FALSE()),"")</f>
        <v/>
      </c>
      <c r="R96" s="85">
        <f t="shared" ca="1" si="2"/>
        <v>-225</v>
      </c>
      <c r="S96" s="86" t="str">
        <f t="shared" ca="1" si="3"/>
        <v>EXPIRED</v>
      </c>
    </row>
    <row r="97" spans="1:19" ht="15.75" customHeight="1">
      <c r="A97" s="75">
        <v>96</v>
      </c>
      <c r="B97" s="76" t="s">
        <v>1242</v>
      </c>
      <c r="C97" s="77" t="s">
        <v>1241</v>
      </c>
      <c r="D97" s="77" t="s">
        <v>1131</v>
      </c>
      <c r="E97" s="78" t="s">
        <v>6</v>
      </c>
      <c r="F97" s="77" t="s">
        <v>5</v>
      </c>
      <c r="G97" s="79" t="s">
        <v>1130</v>
      </c>
      <c r="H97" s="78"/>
      <c r="I97" s="78"/>
      <c r="J97" s="78" t="s">
        <v>1129</v>
      </c>
      <c r="K97" s="81" t="s">
        <v>2</v>
      </c>
      <c r="L97" s="82">
        <f>IFERROR(VLOOKUP($B97,[1]Sheet2!$A:$L,11,FALSE()),"")</f>
        <v>45996</v>
      </c>
      <c r="M97" s="83">
        <v>46386</v>
      </c>
      <c r="N97" s="84">
        <v>46386</v>
      </c>
      <c r="O97" s="78" t="s">
        <v>1</v>
      </c>
      <c r="P97" s="78"/>
      <c r="Q97" s="78" t="str">
        <f>IFERROR(VLOOKUP($B97,[1]Sheet2!$A:$L,12,FALSE()),"")</f>
        <v>Dubai</v>
      </c>
      <c r="R97" s="85">
        <f t="shared" ca="1" si="2"/>
        <v>139</v>
      </c>
      <c r="S97" s="86" t="str">
        <f t="shared" ca="1" si="3"/>
        <v>✓ OK</v>
      </c>
    </row>
    <row r="98" spans="1:19" ht="15.75" customHeight="1">
      <c r="A98" s="75">
        <v>97</v>
      </c>
      <c r="B98" s="76" t="s">
        <v>1240</v>
      </c>
      <c r="C98" s="77" t="s">
        <v>1239</v>
      </c>
      <c r="D98" s="77" t="s">
        <v>1131</v>
      </c>
      <c r="E98" s="78" t="s">
        <v>6</v>
      </c>
      <c r="F98" s="77" t="s">
        <v>5</v>
      </c>
      <c r="G98" s="79" t="s">
        <v>1130</v>
      </c>
      <c r="H98" s="78"/>
      <c r="I98" s="78"/>
      <c r="J98" s="78" t="s">
        <v>1167</v>
      </c>
      <c r="K98" s="81" t="s">
        <v>2</v>
      </c>
      <c r="L98" s="82">
        <f>IFERROR(VLOOKUP($B98,[1]Sheet2!$A:$L,11,FALSE()),"")</f>
        <v>45996</v>
      </c>
      <c r="M98" s="83">
        <v>46386</v>
      </c>
      <c r="N98" s="84">
        <v>46386</v>
      </c>
      <c r="O98" s="78" t="s">
        <v>1</v>
      </c>
      <c r="P98" s="78"/>
      <c r="Q98" s="78" t="str">
        <f>IFERROR(VLOOKUP($B98,[1]Sheet2!$A:$L,12,FALSE()),"")</f>
        <v>Dubai</v>
      </c>
      <c r="R98" s="85">
        <f t="shared" ca="1" si="2"/>
        <v>139</v>
      </c>
      <c r="S98" s="86" t="str">
        <f t="shared" ca="1" si="3"/>
        <v>✓ OK</v>
      </c>
    </row>
    <row r="99" spans="1:19" ht="15.75" customHeight="1">
      <c r="A99" s="75">
        <v>98</v>
      </c>
      <c r="B99" s="76" t="s">
        <v>1238</v>
      </c>
      <c r="C99" s="77" t="s">
        <v>1237</v>
      </c>
      <c r="D99" s="77" t="s">
        <v>1131</v>
      </c>
      <c r="E99" s="78" t="s">
        <v>6</v>
      </c>
      <c r="F99" s="77" t="s">
        <v>5</v>
      </c>
      <c r="G99" s="79" t="s">
        <v>1130</v>
      </c>
      <c r="H99" s="78"/>
      <c r="I99" s="78"/>
      <c r="J99" s="78" t="s">
        <v>1215</v>
      </c>
      <c r="K99" s="81" t="s">
        <v>2</v>
      </c>
      <c r="L99" s="82">
        <f>IFERROR(VLOOKUP($B99,[1]Sheet2!$A:$L,11,FALSE()),"")</f>
        <v>45996</v>
      </c>
      <c r="M99" s="83">
        <v>46386</v>
      </c>
      <c r="N99" s="84">
        <v>46386</v>
      </c>
      <c r="O99" s="78" t="s">
        <v>1</v>
      </c>
      <c r="P99" s="78"/>
      <c r="Q99" s="78" t="str">
        <f>IFERROR(VLOOKUP($B99,[1]Sheet2!$A:$L,12,FALSE()),"")</f>
        <v>Dubai</v>
      </c>
      <c r="R99" s="85">
        <f t="shared" ca="1" si="2"/>
        <v>139</v>
      </c>
      <c r="S99" s="86" t="str">
        <f t="shared" ca="1" si="3"/>
        <v>✓ OK</v>
      </c>
    </row>
    <row r="100" spans="1:19" ht="15.75" customHeight="1">
      <c r="A100" s="75">
        <v>99</v>
      </c>
      <c r="B100" s="76" t="s">
        <v>1150</v>
      </c>
      <c r="C100" s="77" t="s">
        <v>1236</v>
      </c>
      <c r="D100" s="77" t="s">
        <v>65</v>
      </c>
      <c r="E100" s="78" t="s">
        <v>6</v>
      </c>
      <c r="F100" s="77" t="s">
        <v>5</v>
      </c>
      <c r="G100" s="79" t="s">
        <v>1162</v>
      </c>
      <c r="H100" s="78"/>
      <c r="I100" s="78" t="s">
        <v>1235</v>
      </c>
      <c r="J100" s="78" t="s">
        <v>1234</v>
      </c>
      <c r="K100" s="88" t="s">
        <v>42</v>
      </c>
      <c r="L100" s="82">
        <f>IFERROR(VLOOKUP($B100,[1]Sheet2!$A:$L,11,FALSE()),"")</f>
        <v>45996</v>
      </c>
      <c r="M100" s="90">
        <v>44574</v>
      </c>
      <c r="N100" s="78" t="s">
        <v>41</v>
      </c>
      <c r="O100" s="78" t="s">
        <v>1230</v>
      </c>
      <c r="P100" s="78"/>
      <c r="Q100" s="78" t="str">
        <f>IFERROR(VLOOKUP($B100,[1]Sheet2!$A:$L,12,FALSE()),"")</f>
        <v>Dubai</v>
      </c>
      <c r="R100" s="85">
        <f t="shared" ca="1" si="2"/>
        <v>-1673</v>
      </c>
      <c r="S100" s="86" t="str">
        <f t="shared" ca="1" si="3"/>
        <v>EXPIRED</v>
      </c>
    </row>
    <row r="101" spans="1:19" ht="15.75" customHeight="1">
      <c r="A101" s="75">
        <v>100</v>
      </c>
      <c r="B101" s="76" t="s">
        <v>1233</v>
      </c>
      <c r="C101" s="77" t="s">
        <v>1232</v>
      </c>
      <c r="D101" s="77" t="s">
        <v>1232</v>
      </c>
      <c r="E101" s="78" t="s">
        <v>6</v>
      </c>
      <c r="F101" s="77" t="s">
        <v>5</v>
      </c>
      <c r="G101" s="79" t="s">
        <v>4</v>
      </c>
      <c r="H101" s="78"/>
      <c r="I101" s="78" t="s">
        <v>1231</v>
      </c>
      <c r="J101" s="78" t="s">
        <v>3</v>
      </c>
      <c r="K101" s="88" t="s">
        <v>42</v>
      </c>
      <c r="L101" s="82" t="str">
        <f>IFERROR(VLOOKUP($B101,[1]Sheet2!$A:$L,11,FALSE()),"")</f>
        <v/>
      </c>
      <c r="M101" s="90">
        <v>45047</v>
      </c>
      <c r="N101" s="78" t="s">
        <v>41</v>
      </c>
      <c r="O101" s="78" t="s">
        <v>1230</v>
      </c>
      <c r="P101" s="78"/>
      <c r="Q101" s="78" t="str">
        <f>IFERROR(VLOOKUP($B101,[1]Sheet2!$A:$L,12,FALSE()),"")</f>
        <v/>
      </c>
      <c r="R101" s="85">
        <f t="shared" ca="1" si="2"/>
        <v>-1200</v>
      </c>
      <c r="S101" s="86" t="str">
        <f t="shared" ca="1" si="3"/>
        <v>EXPIRED</v>
      </c>
    </row>
    <row r="102" spans="1:19" ht="15.75" customHeight="1">
      <c r="A102" s="75">
        <v>101</v>
      </c>
      <c r="B102" s="76" t="s">
        <v>1229</v>
      </c>
      <c r="C102" s="77" t="s">
        <v>1228</v>
      </c>
      <c r="D102" s="77" t="s">
        <v>1131</v>
      </c>
      <c r="E102" s="78" t="s">
        <v>6</v>
      </c>
      <c r="F102" s="77" t="s">
        <v>5</v>
      </c>
      <c r="G102" s="79" t="s">
        <v>1130</v>
      </c>
      <c r="H102" s="78"/>
      <c r="I102" s="78"/>
      <c r="J102" s="78" t="s">
        <v>1215</v>
      </c>
      <c r="K102" s="81" t="s">
        <v>2</v>
      </c>
      <c r="L102" s="82">
        <f>IFERROR(VLOOKUP($B102,[1]Sheet2!$A:$L,11,FALSE()),"")</f>
        <v>45996</v>
      </c>
      <c r="M102" s="83">
        <v>46386</v>
      </c>
      <c r="N102" s="84">
        <v>46386</v>
      </c>
      <c r="O102" s="78" t="s">
        <v>1</v>
      </c>
      <c r="P102" s="78"/>
      <c r="Q102" s="78" t="str">
        <f>IFERROR(VLOOKUP($B102,[1]Sheet2!$A:$L,12,FALSE()),"")</f>
        <v>Dubai</v>
      </c>
      <c r="R102" s="85">
        <f t="shared" ca="1" si="2"/>
        <v>139</v>
      </c>
      <c r="S102" s="86" t="str">
        <f t="shared" ca="1" si="3"/>
        <v>✓ OK</v>
      </c>
    </row>
    <row r="103" spans="1:19" ht="15.75" customHeight="1">
      <c r="A103" s="75">
        <v>102</v>
      </c>
      <c r="B103" s="76" t="s">
        <v>1227</v>
      </c>
      <c r="C103" s="77" t="s">
        <v>1226</v>
      </c>
      <c r="D103" s="77" t="s">
        <v>1131</v>
      </c>
      <c r="E103" s="78" t="s">
        <v>6</v>
      </c>
      <c r="F103" s="77" t="s">
        <v>5</v>
      </c>
      <c r="G103" s="79" t="s">
        <v>1130</v>
      </c>
      <c r="H103" s="78"/>
      <c r="I103" s="78"/>
      <c r="J103" s="78" t="s">
        <v>1215</v>
      </c>
      <c r="K103" s="81" t="s">
        <v>2</v>
      </c>
      <c r="L103" s="82">
        <f>IFERROR(VLOOKUP($B103,[1]Sheet2!$A:$L,11,FALSE()),"")</f>
        <v>45996</v>
      </c>
      <c r="M103" s="83">
        <v>46386</v>
      </c>
      <c r="N103" s="84">
        <v>46386</v>
      </c>
      <c r="O103" s="78" t="s">
        <v>1</v>
      </c>
      <c r="P103" s="78"/>
      <c r="Q103" s="78" t="str">
        <f>IFERROR(VLOOKUP($B103,[1]Sheet2!$A:$L,12,FALSE()),"")</f>
        <v>Dubai</v>
      </c>
      <c r="R103" s="85">
        <f t="shared" ca="1" si="2"/>
        <v>139</v>
      </c>
      <c r="S103" s="86" t="str">
        <f t="shared" ca="1" si="3"/>
        <v>✓ OK</v>
      </c>
    </row>
    <row r="104" spans="1:19" ht="15.75" customHeight="1">
      <c r="A104" s="75">
        <v>103</v>
      </c>
      <c r="B104" s="76" t="s">
        <v>1225</v>
      </c>
      <c r="C104" s="77" t="s">
        <v>1224</v>
      </c>
      <c r="D104" s="77" t="s">
        <v>1131</v>
      </c>
      <c r="E104" s="78" t="s">
        <v>6</v>
      </c>
      <c r="F104" s="77" t="s">
        <v>5</v>
      </c>
      <c r="G104" s="79" t="s">
        <v>1130</v>
      </c>
      <c r="H104" s="78"/>
      <c r="I104" s="78"/>
      <c r="J104" s="78" t="s">
        <v>1215</v>
      </c>
      <c r="K104" s="81" t="s">
        <v>2</v>
      </c>
      <c r="L104" s="82">
        <f>IFERROR(VLOOKUP($B104,[1]Sheet2!$A:$L,11,FALSE()),"")</f>
        <v>45994</v>
      </c>
      <c r="M104" s="83">
        <v>46386</v>
      </c>
      <c r="N104" s="84">
        <v>46386</v>
      </c>
      <c r="O104" s="78" t="s">
        <v>1</v>
      </c>
      <c r="P104" s="78"/>
      <c r="Q104" s="78" t="str">
        <f>IFERROR(VLOOKUP($B104,[1]Sheet2!$A:$L,12,FALSE()),"")</f>
        <v>Dubai</v>
      </c>
      <c r="R104" s="85">
        <f t="shared" ca="1" si="2"/>
        <v>139</v>
      </c>
      <c r="S104" s="86" t="str">
        <f t="shared" ca="1" si="3"/>
        <v>✓ OK</v>
      </c>
    </row>
    <row r="105" spans="1:19" s="66" customFormat="1" ht="15.75" customHeight="1">
      <c r="A105" s="75">
        <v>104</v>
      </c>
      <c r="B105" s="76" t="s">
        <v>1223</v>
      </c>
      <c r="C105" s="77" t="s">
        <v>1222</v>
      </c>
      <c r="D105" s="77" t="s">
        <v>1131</v>
      </c>
      <c r="E105" s="78" t="s">
        <v>6</v>
      </c>
      <c r="F105" s="77" t="s">
        <v>5</v>
      </c>
      <c r="G105" s="79" t="s">
        <v>1130</v>
      </c>
      <c r="H105" s="78"/>
      <c r="I105" s="78"/>
      <c r="J105" s="78" t="s">
        <v>1215</v>
      </c>
      <c r="K105" s="81" t="s">
        <v>2</v>
      </c>
      <c r="L105" s="82">
        <f>IFERROR(VLOOKUP($B105,[1]Sheet2!$A:$L,11,FALSE()),"")</f>
        <v>45996</v>
      </c>
      <c r="M105" s="83">
        <v>46386</v>
      </c>
      <c r="N105" s="84">
        <v>46386</v>
      </c>
      <c r="O105" s="78" t="s">
        <v>1</v>
      </c>
      <c r="P105" s="78"/>
      <c r="Q105" s="78" t="str">
        <f>IFERROR(VLOOKUP($B105,[1]Sheet2!$A:$L,12,FALSE()),"")</f>
        <v>Dubai</v>
      </c>
      <c r="R105" s="85">
        <f t="shared" ca="1" si="2"/>
        <v>139</v>
      </c>
      <c r="S105" s="86" t="str">
        <f t="shared" ca="1" si="3"/>
        <v>✓ OK</v>
      </c>
    </row>
    <row r="106" spans="1:19" ht="15.75" customHeight="1">
      <c r="A106" s="75">
        <v>105</v>
      </c>
      <c r="B106" s="76" t="s">
        <v>1221</v>
      </c>
      <c r="C106" s="77" t="s">
        <v>1220</v>
      </c>
      <c r="D106" s="77" t="s">
        <v>1131</v>
      </c>
      <c r="E106" s="78" t="s">
        <v>6</v>
      </c>
      <c r="F106" s="77" t="s">
        <v>5</v>
      </c>
      <c r="G106" s="79" t="s">
        <v>1130</v>
      </c>
      <c r="H106" s="78"/>
      <c r="I106" s="78"/>
      <c r="J106" s="78" t="s">
        <v>1215</v>
      </c>
      <c r="K106" s="81" t="s">
        <v>2</v>
      </c>
      <c r="L106" s="82">
        <f>IFERROR(VLOOKUP($B106,[1]Sheet2!$A:$L,11,FALSE()),"")</f>
        <v>45996</v>
      </c>
      <c r="M106" s="83">
        <v>46386</v>
      </c>
      <c r="N106" s="84">
        <v>46386</v>
      </c>
      <c r="O106" s="78" t="s">
        <v>1</v>
      </c>
      <c r="P106" s="78"/>
      <c r="Q106" s="78" t="str">
        <f>IFERROR(VLOOKUP($B106,[1]Sheet2!$A:$L,12,FALSE()),"")</f>
        <v>Dubai</v>
      </c>
      <c r="R106" s="85">
        <f t="shared" ca="1" si="2"/>
        <v>139</v>
      </c>
      <c r="S106" s="86" t="str">
        <f t="shared" ca="1" si="3"/>
        <v>✓ OK</v>
      </c>
    </row>
    <row r="107" spans="1:19" ht="15.75" customHeight="1">
      <c r="A107" s="75">
        <v>106</v>
      </c>
      <c r="B107" s="76" t="s">
        <v>1219</v>
      </c>
      <c r="C107" s="77" t="s">
        <v>1218</v>
      </c>
      <c r="D107" s="77" t="s">
        <v>1131</v>
      </c>
      <c r="E107" s="78" t="s">
        <v>6</v>
      </c>
      <c r="F107" s="77" t="s">
        <v>5</v>
      </c>
      <c r="G107" s="79" t="s">
        <v>1130</v>
      </c>
      <c r="H107" s="78"/>
      <c r="I107" s="78"/>
      <c r="J107" s="78" t="s">
        <v>1215</v>
      </c>
      <c r="K107" s="81" t="s">
        <v>2</v>
      </c>
      <c r="L107" s="82">
        <f>IFERROR(VLOOKUP($B107,[1]Sheet2!$A:$L,11,FALSE()),"")</f>
        <v>45996</v>
      </c>
      <c r="M107" s="83">
        <v>46386</v>
      </c>
      <c r="N107" s="84">
        <v>46386</v>
      </c>
      <c r="O107" s="78" t="s">
        <v>1</v>
      </c>
      <c r="P107" s="78"/>
      <c r="Q107" s="78" t="str">
        <f>IFERROR(VLOOKUP($B107,[1]Sheet2!$A:$L,12,FALSE()),"")</f>
        <v>Dubai</v>
      </c>
      <c r="R107" s="85">
        <f t="shared" ca="1" si="2"/>
        <v>139</v>
      </c>
      <c r="S107" s="86" t="str">
        <f t="shared" ca="1" si="3"/>
        <v>✓ OK</v>
      </c>
    </row>
    <row r="108" spans="1:19" ht="15.75" customHeight="1">
      <c r="A108" s="75">
        <v>107</v>
      </c>
      <c r="B108" s="76" t="s">
        <v>1217</v>
      </c>
      <c r="C108" s="77" t="s">
        <v>1216</v>
      </c>
      <c r="D108" s="77" t="s">
        <v>1131</v>
      </c>
      <c r="E108" s="78" t="s">
        <v>6</v>
      </c>
      <c r="F108" s="77" t="s">
        <v>5</v>
      </c>
      <c r="G108" s="79" t="s">
        <v>1130</v>
      </c>
      <c r="H108" s="78"/>
      <c r="I108" s="78"/>
      <c r="J108" s="78" t="s">
        <v>1215</v>
      </c>
      <c r="K108" s="81" t="s">
        <v>2</v>
      </c>
      <c r="L108" s="82">
        <f>IFERROR(VLOOKUP($B108,[1]Sheet2!$A:$L,11,FALSE()),"")</f>
        <v>45994</v>
      </c>
      <c r="M108" s="83">
        <v>46386</v>
      </c>
      <c r="N108" s="84">
        <v>46386</v>
      </c>
      <c r="O108" s="78" t="s">
        <v>1</v>
      </c>
      <c r="P108" s="78"/>
      <c r="Q108" s="78" t="str">
        <f>IFERROR(VLOOKUP($B108,[1]Sheet2!$A:$L,12,FALSE()),"")</f>
        <v>Dubai</v>
      </c>
      <c r="R108" s="85">
        <f t="shared" ca="1" si="2"/>
        <v>139</v>
      </c>
      <c r="S108" s="86" t="str">
        <f t="shared" ca="1" si="3"/>
        <v>✓ OK</v>
      </c>
    </row>
    <row r="109" spans="1:19" ht="15.75" customHeight="1">
      <c r="A109" s="75">
        <v>108</v>
      </c>
      <c r="B109" s="76" t="s">
        <v>1214</v>
      </c>
      <c r="C109" s="77" t="s">
        <v>1213</v>
      </c>
      <c r="D109" s="77" t="s">
        <v>1131</v>
      </c>
      <c r="E109" s="78" t="s">
        <v>6</v>
      </c>
      <c r="F109" s="77" t="s">
        <v>5</v>
      </c>
      <c r="G109" s="79" t="s">
        <v>1130</v>
      </c>
      <c r="H109" s="78"/>
      <c r="I109" s="78"/>
      <c r="J109" s="78" t="s">
        <v>1167</v>
      </c>
      <c r="K109" s="81" t="s">
        <v>2</v>
      </c>
      <c r="L109" s="82">
        <f>IFERROR(VLOOKUP($B109,[1]Sheet2!$A:$L,11,FALSE()),"")</f>
        <v>45996</v>
      </c>
      <c r="M109" s="83">
        <v>46386</v>
      </c>
      <c r="N109" s="84">
        <v>46386</v>
      </c>
      <c r="O109" s="78" t="s">
        <v>1</v>
      </c>
      <c r="P109" s="78"/>
      <c r="Q109" s="78" t="str">
        <f>IFERROR(VLOOKUP($B109,[1]Sheet2!$A:$L,12,FALSE()),"")</f>
        <v>Dubai</v>
      </c>
      <c r="R109" s="85">
        <f t="shared" ca="1" si="2"/>
        <v>139</v>
      </c>
      <c r="S109" s="86" t="str">
        <f t="shared" ca="1" si="3"/>
        <v>✓ OK</v>
      </c>
    </row>
    <row r="110" spans="1:19" ht="15.75" customHeight="1">
      <c r="A110" s="75">
        <v>109</v>
      </c>
      <c r="B110" s="76" t="s">
        <v>1212</v>
      </c>
      <c r="C110" s="77" t="s">
        <v>1211</v>
      </c>
      <c r="D110" s="77" t="s">
        <v>1131</v>
      </c>
      <c r="E110" s="78" t="s">
        <v>6</v>
      </c>
      <c r="F110" s="77" t="s">
        <v>5</v>
      </c>
      <c r="G110" s="79" t="s">
        <v>1130</v>
      </c>
      <c r="H110" s="78"/>
      <c r="I110" s="78"/>
      <c r="J110" s="78" t="s">
        <v>99</v>
      </c>
      <c r="K110" s="88" t="s">
        <v>42</v>
      </c>
      <c r="L110" s="82" t="str">
        <f>IFERROR(VLOOKUP($B110,[1]Sheet2!$A:$L,11,FALSE()),"")</f>
        <v/>
      </c>
      <c r="M110" s="90">
        <v>45800</v>
      </c>
      <c r="N110" s="78" t="s">
        <v>41</v>
      </c>
      <c r="O110" s="78" t="s">
        <v>40</v>
      </c>
      <c r="P110" s="78"/>
      <c r="Q110" s="78" t="str">
        <f>IFERROR(VLOOKUP($B110,[1]Sheet2!$A:$L,12,FALSE()),"")</f>
        <v/>
      </c>
      <c r="R110" s="85">
        <f t="shared" ca="1" si="2"/>
        <v>-447</v>
      </c>
      <c r="S110" s="86" t="str">
        <f t="shared" ca="1" si="3"/>
        <v>EXPIRED</v>
      </c>
    </row>
    <row r="111" spans="1:19" ht="15.75" customHeight="1">
      <c r="A111" s="75">
        <v>110</v>
      </c>
      <c r="B111" s="76" t="s">
        <v>1210</v>
      </c>
      <c r="C111" s="77" t="s">
        <v>1209</v>
      </c>
      <c r="D111" s="77" t="s">
        <v>1131</v>
      </c>
      <c r="E111" s="78" t="s">
        <v>6</v>
      </c>
      <c r="F111" s="77" t="s">
        <v>5</v>
      </c>
      <c r="G111" s="79" t="s">
        <v>1130</v>
      </c>
      <c r="H111" s="78"/>
      <c r="I111" s="78"/>
      <c r="J111" s="78" t="s">
        <v>99</v>
      </c>
      <c r="K111" s="88" t="s">
        <v>42</v>
      </c>
      <c r="L111" s="82" t="str">
        <f>IFERROR(VLOOKUP($B111,[1]Sheet2!$A:$L,11,FALSE()),"")</f>
        <v/>
      </c>
      <c r="M111" s="90">
        <v>45800</v>
      </c>
      <c r="N111" s="78" t="s">
        <v>41</v>
      </c>
      <c r="O111" s="78" t="s">
        <v>40</v>
      </c>
      <c r="P111" s="78"/>
      <c r="Q111" s="78" t="str">
        <f>IFERROR(VLOOKUP($B111,[1]Sheet2!$A:$L,12,FALSE()),"")</f>
        <v/>
      </c>
      <c r="R111" s="85">
        <f t="shared" ca="1" si="2"/>
        <v>-447</v>
      </c>
      <c r="S111" s="86" t="str">
        <f t="shared" ca="1" si="3"/>
        <v>EXPIRED</v>
      </c>
    </row>
    <row r="112" spans="1:19" ht="15.75" customHeight="1">
      <c r="A112" s="75">
        <v>111</v>
      </c>
      <c r="B112" s="76" t="s">
        <v>1208</v>
      </c>
      <c r="C112" s="77" t="s">
        <v>1207</v>
      </c>
      <c r="D112" s="77" t="s">
        <v>1131</v>
      </c>
      <c r="E112" s="78" t="s">
        <v>6</v>
      </c>
      <c r="F112" s="77" t="s">
        <v>5</v>
      </c>
      <c r="G112" s="79" t="s">
        <v>1130</v>
      </c>
      <c r="H112" s="78"/>
      <c r="I112" s="78"/>
      <c r="J112" s="78" t="s">
        <v>1206</v>
      </c>
      <c r="K112" s="81" t="s">
        <v>2</v>
      </c>
      <c r="L112" s="82">
        <f>IFERROR(VLOOKUP($B112,[1]Sheet2!$A:$L,11,FALSE()),"")</f>
        <v>45988</v>
      </c>
      <c r="M112" s="83">
        <v>46386</v>
      </c>
      <c r="N112" s="84">
        <v>46386</v>
      </c>
      <c r="O112" s="78" t="s">
        <v>1</v>
      </c>
      <c r="P112" s="78"/>
      <c r="Q112" s="78" t="str">
        <f>IFERROR(VLOOKUP($B112,[1]Sheet2!$A:$L,12,FALSE()),"")</f>
        <v>Dubai</v>
      </c>
      <c r="R112" s="85">
        <f t="shared" ca="1" si="2"/>
        <v>139</v>
      </c>
      <c r="S112" s="86" t="str">
        <f t="shared" ca="1" si="3"/>
        <v>✓ OK</v>
      </c>
    </row>
    <row r="113" spans="1:19" ht="15.75" customHeight="1">
      <c r="A113" s="75">
        <v>112</v>
      </c>
      <c r="B113" s="76" t="s">
        <v>1205</v>
      </c>
      <c r="C113" s="77" t="s">
        <v>1204</v>
      </c>
      <c r="D113" s="77" t="s">
        <v>1131</v>
      </c>
      <c r="E113" s="78" t="s">
        <v>6</v>
      </c>
      <c r="F113" s="77" t="s">
        <v>5</v>
      </c>
      <c r="G113" s="79" t="s">
        <v>1130</v>
      </c>
      <c r="H113" s="78"/>
      <c r="I113" s="78"/>
      <c r="J113" s="80" t="s">
        <v>1203</v>
      </c>
      <c r="K113" s="81" t="s">
        <v>2</v>
      </c>
      <c r="L113" s="82">
        <f>IFERROR(VLOOKUP($B113,[1]Sheet2!$A:$L,11,FALSE()),"")</f>
        <v>45996</v>
      </c>
      <c r="M113" s="83">
        <v>46386</v>
      </c>
      <c r="N113" s="84">
        <v>46386</v>
      </c>
      <c r="O113" s="78" t="s">
        <v>1</v>
      </c>
      <c r="P113" s="78"/>
      <c r="Q113" s="78" t="str">
        <f>IFERROR(VLOOKUP($B113,[1]Sheet2!$A:$L,12,FALSE()),"")</f>
        <v>Dubai</v>
      </c>
      <c r="R113" s="85">
        <f t="shared" ca="1" si="2"/>
        <v>139</v>
      </c>
      <c r="S113" s="86" t="str">
        <f t="shared" ca="1" si="3"/>
        <v>✓ OK</v>
      </c>
    </row>
    <row r="114" spans="1:19" ht="15.75" customHeight="1">
      <c r="A114" s="75">
        <v>113</v>
      </c>
      <c r="B114" s="76" t="s">
        <v>1202</v>
      </c>
      <c r="C114" s="77" t="s">
        <v>1201</v>
      </c>
      <c r="D114" s="77" t="s">
        <v>1131</v>
      </c>
      <c r="E114" s="78" t="s">
        <v>6</v>
      </c>
      <c r="F114" s="77" t="s">
        <v>5</v>
      </c>
      <c r="G114" s="79" t="s">
        <v>1130</v>
      </c>
      <c r="H114" s="78"/>
      <c r="I114" s="78"/>
      <c r="J114" s="78" t="s">
        <v>1186</v>
      </c>
      <c r="K114" s="88" t="s">
        <v>42</v>
      </c>
      <c r="L114" s="82" t="str">
        <f>IFERROR(VLOOKUP($B114,[1]Sheet2!$A:$L,11,FALSE()),"")</f>
        <v/>
      </c>
      <c r="M114" s="90">
        <v>45800</v>
      </c>
      <c r="N114" s="78" t="s">
        <v>41</v>
      </c>
      <c r="O114" s="78" t="s">
        <v>40</v>
      </c>
      <c r="P114" s="78"/>
      <c r="Q114" s="78" t="str">
        <f>IFERROR(VLOOKUP($B114,[1]Sheet2!$A:$L,12,FALSE()),"")</f>
        <v/>
      </c>
      <c r="R114" s="85">
        <f t="shared" ca="1" si="2"/>
        <v>-447</v>
      </c>
      <c r="S114" s="86" t="str">
        <f t="shared" ca="1" si="3"/>
        <v>EXPIRED</v>
      </c>
    </row>
    <row r="115" spans="1:19" ht="15.75" customHeight="1">
      <c r="A115" s="75">
        <v>114</v>
      </c>
      <c r="B115" s="76" t="s">
        <v>1200</v>
      </c>
      <c r="C115" s="77" t="s">
        <v>1199</v>
      </c>
      <c r="D115" s="77" t="s">
        <v>1131</v>
      </c>
      <c r="E115" s="78" t="s">
        <v>6</v>
      </c>
      <c r="F115" s="77" t="s">
        <v>5</v>
      </c>
      <c r="G115" s="79" t="s">
        <v>1130</v>
      </c>
      <c r="H115" s="78"/>
      <c r="I115" s="78"/>
      <c r="J115" s="78" t="s">
        <v>1167</v>
      </c>
      <c r="K115" s="81" t="s">
        <v>2</v>
      </c>
      <c r="L115" s="82">
        <f>IFERROR(VLOOKUP($B115,[1]Sheet2!$A:$L,11,FALSE()),"")</f>
        <v>45996</v>
      </c>
      <c r="M115" s="83">
        <v>46386</v>
      </c>
      <c r="N115" s="84">
        <v>46386</v>
      </c>
      <c r="O115" s="78" t="s">
        <v>1</v>
      </c>
      <c r="P115" s="78"/>
      <c r="Q115" s="78" t="str">
        <f>IFERROR(VLOOKUP($B115,[1]Sheet2!$A:$L,12,FALSE()),"")</f>
        <v>Dubai</v>
      </c>
      <c r="R115" s="85">
        <f t="shared" ca="1" si="2"/>
        <v>139</v>
      </c>
      <c r="S115" s="86" t="str">
        <f t="shared" ca="1" si="3"/>
        <v>✓ OK</v>
      </c>
    </row>
    <row r="116" spans="1:19" ht="15.75" customHeight="1">
      <c r="A116" s="75">
        <v>115</v>
      </c>
      <c r="B116" s="76" t="s">
        <v>1198</v>
      </c>
      <c r="C116" s="77" t="s">
        <v>1197</v>
      </c>
      <c r="D116" s="77" t="s">
        <v>1131</v>
      </c>
      <c r="E116" s="78" t="s">
        <v>6</v>
      </c>
      <c r="F116" s="77" t="s">
        <v>5</v>
      </c>
      <c r="G116" s="79" t="s">
        <v>1130</v>
      </c>
      <c r="H116" s="78"/>
      <c r="I116" s="78"/>
      <c r="J116" s="78" t="s">
        <v>1167</v>
      </c>
      <c r="K116" s="81" t="s">
        <v>2</v>
      </c>
      <c r="L116" s="82">
        <f>IFERROR(VLOOKUP($B116,[1]Sheet2!$A:$L,11,FALSE()),"")</f>
        <v>45996</v>
      </c>
      <c r="M116" s="83">
        <v>46386</v>
      </c>
      <c r="N116" s="84">
        <v>46386</v>
      </c>
      <c r="O116" s="78" t="s">
        <v>1</v>
      </c>
      <c r="P116" s="78"/>
      <c r="Q116" s="78" t="str">
        <f>IFERROR(VLOOKUP($B116,[1]Sheet2!$A:$L,12,FALSE()),"")</f>
        <v>Dubai</v>
      </c>
      <c r="R116" s="85">
        <f t="shared" ca="1" si="2"/>
        <v>139</v>
      </c>
      <c r="S116" s="86" t="str">
        <f t="shared" ca="1" si="3"/>
        <v>✓ OK</v>
      </c>
    </row>
    <row r="117" spans="1:19" ht="15.75" customHeight="1">
      <c r="A117" s="75">
        <v>116</v>
      </c>
      <c r="B117" s="76" t="s">
        <v>1196</v>
      </c>
      <c r="C117" s="77" t="s">
        <v>1195</v>
      </c>
      <c r="D117" s="77" t="s">
        <v>1131</v>
      </c>
      <c r="E117" s="78" t="s">
        <v>6</v>
      </c>
      <c r="F117" s="77" t="s">
        <v>5</v>
      </c>
      <c r="G117" s="79" t="s">
        <v>1130</v>
      </c>
      <c r="H117" s="78"/>
      <c r="I117" s="78"/>
      <c r="J117" s="78" t="s">
        <v>198</v>
      </c>
      <c r="K117" s="88" t="s">
        <v>42</v>
      </c>
      <c r="L117" s="82" t="str">
        <f>IFERROR(VLOOKUP($B117,[1]Sheet2!$A:$L,11,FALSE()),"")</f>
        <v/>
      </c>
      <c r="M117" s="90">
        <v>45800</v>
      </c>
      <c r="N117" s="78" t="s">
        <v>41</v>
      </c>
      <c r="O117" s="78" t="s">
        <v>40</v>
      </c>
      <c r="P117" s="78"/>
      <c r="Q117" s="78" t="str">
        <f>IFERROR(VLOOKUP($B117,[1]Sheet2!$A:$L,12,FALSE()),"")</f>
        <v/>
      </c>
      <c r="R117" s="85">
        <f t="shared" ca="1" si="2"/>
        <v>-447</v>
      </c>
      <c r="S117" s="86" t="str">
        <f t="shared" ca="1" si="3"/>
        <v>EXPIRED</v>
      </c>
    </row>
    <row r="118" spans="1:19" ht="15.75" customHeight="1">
      <c r="A118" s="75">
        <v>117</v>
      </c>
      <c r="B118" s="76" t="s">
        <v>1194</v>
      </c>
      <c r="C118" s="77" t="s">
        <v>1193</v>
      </c>
      <c r="D118" s="77" t="s">
        <v>1131</v>
      </c>
      <c r="E118" s="78" t="s">
        <v>6</v>
      </c>
      <c r="F118" s="77" t="s">
        <v>5</v>
      </c>
      <c r="G118" s="79" t="s">
        <v>1130</v>
      </c>
      <c r="H118" s="78"/>
      <c r="I118" s="78"/>
      <c r="J118" s="78" t="s">
        <v>1167</v>
      </c>
      <c r="K118" s="81" t="s">
        <v>2</v>
      </c>
      <c r="L118" s="82">
        <f>IFERROR(VLOOKUP($B118,[1]Sheet2!$A:$L,11,FALSE()),"")</f>
        <v>45996</v>
      </c>
      <c r="M118" s="83">
        <v>46386</v>
      </c>
      <c r="N118" s="84">
        <v>46386</v>
      </c>
      <c r="O118" s="78" t="s">
        <v>1</v>
      </c>
      <c r="P118" s="78"/>
      <c r="Q118" s="78" t="str">
        <f>IFERROR(VLOOKUP($B118,[1]Sheet2!$A:$L,12,FALSE()),"")</f>
        <v>Dubai</v>
      </c>
      <c r="R118" s="85">
        <f t="shared" ca="1" si="2"/>
        <v>139</v>
      </c>
      <c r="S118" s="86" t="str">
        <f t="shared" ca="1" si="3"/>
        <v>✓ OK</v>
      </c>
    </row>
    <row r="119" spans="1:19" ht="15.75" customHeight="1">
      <c r="A119" s="75">
        <v>118</v>
      </c>
      <c r="B119" s="76" t="s">
        <v>1192</v>
      </c>
      <c r="C119" s="77" t="s">
        <v>1191</v>
      </c>
      <c r="D119" s="77" t="s">
        <v>1131</v>
      </c>
      <c r="E119" s="78" t="s">
        <v>6</v>
      </c>
      <c r="F119" s="77" t="s">
        <v>5</v>
      </c>
      <c r="G119" s="79" t="s">
        <v>1130</v>
      </c>
      <c r="H119" s="78"/>
      <c r="I119" s="78"/>
      <c r="J119" s="78" t="s">
        <v>45</v>
      </c>
      <c r="K119" s="81" t="s">
        <v>2</v>
      </c>
      <c r="L119" s="82">
        <f>IFERROR(VLOOKUP($B119,[1]Sheet2!$A:$L,11,FALSE()),"")</f>
        <v>45996</v>
      </c>
      <c r="M119" s="83">
        <v>46386</v>
      </c>
      <c r="N119" s="84">
        <v>46386</v>
      </c>
      <c r="O119" s="78" t="s">
        <v>1</v>
      </c>
      <c r="P119" s="78"/>
      <c r="Q119" s="78" t="str">
        <f>IFERROR(VLOOKUP($B119,[1]Sheet2!$A:$L,12,FALSE()),"")</f>
        <v>Dubai</v>
      </c>
      <c r="R119" s="85">
        <f t="shared" ca="1" si="2"/>
        <v>139</v>
      </c>
      <c r="S119" s="86" t="str">
        <f t="shared" ca="1" si="3"/>
        <v>✓ OK</v>
      </c>
    </row>
    <row r="120" spans="1:19" ht="15.75" customHeight="1">
      <c r="A120" s="75">
        <v>119</v>
      </c>
      <c r="B120" s="76" t="s">
        <v>1190</v>
      </c>
      <c r="C120" s="77" t="s">
        <v>1189</v>
      </c>
      <c r="D120" s="77" t="s">
        <v>1131</v>
      </c>
      <c r="E120" s="78" t="s">
        <v>6</v>
      </c>
      <c r="F120" s="77" t="s">
        <v>5</v>
      </c>
      <c r="G120" s="79" t="s">
        <v>1130</v>
      </c>
      <c r="H120" s="78"/>
      <c r="I120" s="78"/>
      <c r="J120" s="78" t="s">
        <v>198</v>
      </c>
      <c r="K120" s="88" t="s">
        <v>42</v>
      </c>
      <c r="L120" s="82" t="str">
        <f>IFERROR(VLOOKUP($B120,[1]Sheet2!$A:$L,11,FALSE()),"")</f>
        <v/>
      </c>
      <c r="M120" s="90">
        <v>46021</v>
      </c>
      <c r="N120" s="78" t="s">
        <v>41</v>
      </c>
      <c r="O120" s="78" t="s">
        <v>40</v>
      </c>
      <c r="P120" s="78"/>
      <c r="Q120" s="78" t="str">
        <f>IFERROR(VLOOKUP($B120,[1]Sheet2!$A:$L,12,FALSE()),"")</f>
        <v/>
      </c>
      <c r="R120" s="85">
        <f t="shared" ca="1" si="2"/>
        <v>-226</v>
      </c>
      <c r="S120" s="86" t="str">
        <f t="shared" ca="1" si="3"/>
        <v>EXPIRED</v>
      </c>
    </row>
    <row r="121" spans="1:19" ht="15.75" customHeight="1">
      <c r="A121" s="75">
        <v>120</v>
      </c>
      <c r="B121" s="76" t="s">
        <v>1188</v>
      </c>
      <c r="C121" s="77" t="s">
        <v>1187</v>
      </c>
      <c r="D121" s="77" t="s">
        <v>1131</v>
      </c>
      <c r="E121" s="78" t="s">
        <v>6</v>
      </c>
      <c r="F121" s="77" t="s">
        <v>5</v>
      </c>
      <c r="G121" s="79" t="s">
        <v>1130</v>
      </c>
      <c r="H121" s="78"/>
      <c r="I121" s="78"/>
      <c r="J121" s="78" t="s">
        <v>1186</v>
      </c>
      <c r="K121" s="88" t="s">
        <v>42</v>
      </c>
      <c r="L121" s="82" t="str">
        <f>IFERROR(VLOOKUP($B121,[1]Sheet2!$A:$L,11,FALSE()),"")</f>
        <v/>
      </c>
      <c r="M121" s="90">
        <v>46021</v>
      </c>
      <c r="N121" s="78" t="s">
        <v>41</v>
      </c>
      <c r="O121" s="78" t="s">
        <v>40</v>
      </c>
      <c r="P121" s="78"/>
      <c r="Q121" s="78" t="str">
        <f>IFERROR(VLOOKUP($B121,[1]Sheet2!$A:$L,12,FALSE()),"")</f>
        <v/>
      </c>
      <c r="R121" s="85">
        <f t="shared" ca="1" si="2"/>
        <v>-226</v>
      </c>
      <c r="S121" s="86" t="str">
        <f t="shared" ca="1" si="3"/>
        <v>EXPIRED</v>
      </c>
    </row>
    <row r="122" spans="1:19" ht="15.75" customHeight="1">
      <c r="A122" s="75">
        <v>121</v>
      </c>
      <c r="B122" s="76" t="s">
        <v>1185</v>
      </c>
      <c r="C122" s="77" t="s">
        <v>1184</v>
      </c>
      <c r="D122" s="77" t="s">
        <v>1131</v>
      </c>
      <c r="E122" s="78" t="s">
        <v>6</v>
      </c>
      <c r="F122" s="77" t="s">
        <v>5</v>
      </c>
      <c r="G122" s="79" t="s">
        <v>1130</v>
      </c>
      <c r="H122" s="78"/>
      <c r="I122" s="78"/>
      <c r="J122" s="78" t="s">
        <v>99</v>
      </c>
      <c r="K122" s="81" t="s">
        <v>2</v>
      </c>
      <c r="L122" s="82">
        <f>IFERROR(VLOOKUP($B122,[1]Sheet2!$A:$L,11,FALSE()),"")</f>
        <v>45996</v>
      </c>
      <c r="M122" s="83">
        <v>46386</v>
      </c>
      <c r="N122" s="84">
        <v>46386</v>
      </c>
      <c r="O122" s="78" t="s">
        <v>1</v>
      </c>
      <c r="P122" s="78"/>
      <c r="Q122" s="78" t="str">
        <f>IFERROR(VLOOKUP($B122,[1]Sheet2!$A:$L,12,FALSE()),"")</f>
        <v>Dubai</v>
      </c>
      <c r="R122" s="85">
        <f t="shared" ca="1" si="2"/>
        <v>139</v>
      </c>
      <c r="S122" s="86" t="str">
        <f t="shared" ca="1" si="3"/>
        <v>✓ OK</v>
      </c>
    </row>
    <row r="123" spans="1:19" ht="15.75" customHeight="1">
      <c r="A123" s="75">
        <v>122</v>
      </c>
      <c r="B123" s="76" t="s">
        <v>1183</v>
      </c>
      <c r="C123" s="77" t="s">
        <v>1182</v>
      </c>
      <c r="D123" s="77" t="s">
        <v>1131</v>
      </c>
      <c r="E123" s="78" t="s">
        <v>6</v>
      </c>
      <c r="F123" s="77" t="s">
        <v>5</v>
      </c>
      <c r="G123" s="79" t="s">
        <v>1130</v>
      </c>
      <c r="H123" s="78"/>
      <c r="I123" s="78"/>
      <c r="J123" s="78" t="s">
        <v>1167</v>
      </c>
      <c r="K123" s="81" t="s">
        <v>2</v>
      </c>
      <c r="L123" s="82">
        <f>IFERROR(VLOOKUP($B123,[1]Sheet2!$A:$L,11,FALSE()),"")</f>
        <v>45996</v>
      </c>
      <c r="M123" s="83">
        <v>46386</v>
      </c>
      <c r="N123" s="84">
        <v>46386</v>
      </c>
      <c r="O123" s="78" t="s">
        <v>1</v>
      </c>
      <c r="P123" s="78"/>
      <c r="Q123" s="78" t="str">
        <f>IFERROR(VLOOKUP($B123,[1]Sheet2!$A:$L,12,FALSE()),"")</f>
        <v>Dubai</v>
      </c>
      <c r="R123" s="85">
        <f t="shared" ca="1" si="2"/>
        <v>139</v>
      </c>
      <c r="S123" s="86" t="str">
        <f t="shared" ca="1" si="3"/>
        <v>✓ OK</v>
      </c>
    </row>
    <row r="124" spans="1:19" ht="15.75" customHeight="1">
      <c r="A124" s="75">
        <v>123</v>
      </c>
      <c r="B124" s="76" t="s">
        <v>1181</v>
      </c>
      <c r="C124" s="77" t="s">
        <v>1180</v>
      </c>
      <c r="D124" s="77" t="s">
        <v>1131</v>
      </c>
      <c r="E124" s="78" t="s">
        <v>6</v>
      </c>
      <c r="F124" s="77" t="s">
        <v>5</v>
      </c>
      <c r="G124" s="79" t="s">
        <v>1130</v>
      </c>
      <c r="H124" s="78"/>
      <c r="I124" s="78"/>
      <c r="J124" s="78" t="s">
        <v>45</v>
      </c>
      <c r="K124" s="81" t="s">
        <v>2</v>
      </c>
      <c r="L124" s="82">
        <f>IFERROR(VLOOKUP($B124,[1]Sheet2!$A:$L,11,FALSE()),"")</f>
        <v>45995</v>
      </c>
      <c r="M124" s="83">
        <v>46386</v>
      </c>
      <c r="N124" s="84">
        <v>46386</v>
      </c>
      <c r="O124" s="78" t="s">
        <v>1</v>
      </c>
      <c r="P124" s="78"/>
      <c r="Q124" s="78" t="str">
        <f>IFERROR(VLOOKUP($B124,[1]Sheet2!$A:$L,12,FALSE()),"")</f>
        <v>Dubai</v>
      </c>
      <c r="R124" s="85">
        <f t="shared" ca="1" si="2"/>
        <v>139</v>
      </c>
      <c r="S124" s="86" t="str">
        <f t="shared" ca="1" si="3"/>
        <v>✓ OK</v>
      </c>
    </row>
    <row r="125" spans="1:19" ht="15.75" customHeight="1">
      <c r="A125" s="75">
        <v>124</v>
      </c>
      <c r="B125" s="76" t="s">
        <v>1179</v>
      </c>
      <c r="C125" s="77" t="s">
        <v>1178</v>
      </c>
      <c r="D125" s="77" t="s">
        <v>1131</v>
      </c>
      <c r="E125" s="78" t="s">
        <v>6</v>
      </c>
      <c r="F125" s="77" t="s">
        <v>5</v>
      </c>
      <c r="G125" s="79" t="s">
        <v>1130</v>
      </c>
      <c r="H125" s="78"/>
      <c r="I125" s="78"/>
      <c r="J125" s="78" t="s">
        <v>1167</v>
      </c>
      <c r="K125" s="81" t="s">
        <v>2</v>
      </c>
      <c r="L125" s="82">
        <f>IFERROR(VLOOKUP($B125,[1]Sheet2!$A:$L,11,FALSE()),"")</f>
        <v>45995</v>
      </c>
      <c r="M125" s="83">
        <v>46386</v>
      </c>
      <c r="N125" s="84">
        <v>46386</v>
      </c>
      <c r="O125" s="78" t="s">
        <v>1</v>
      </c>
      <c r="P125" s="78"/>
      <c r="Q125" s="78" t="str">
        <f>IFERROR(VLOOKUP($B125,[1]Sheet2!$A:$L,12,FALSE()),"")</f>
        <v>Dubai</v>
      </c>
      <c r="R125" s="85">
        <f t="shared" ca="1" si="2"/>
        <v>139</v>
      </c>
      <c r="S125" s="86" t="str">
        <f t="shared" ca="1" si="3"/>
        <v>✓ OK</v>
      </c>
    </row>
    <row r="126" spans="1:19" ht="15.75" customHeight="1">
      <c r="A126" s="75">
        <v>125</v>
      </c>
      <c r="B126" s="76" t="s">
        <v>1177</v>
      </c>
      <c r="C126" s="77" t="s">
        <v>1176</v>
      </c>
      <c r="D126" s="77" t="s">
        <v>1131</v>
      </c>
      <c r="E126" s="78" t="s">
        <v>6</v>
      </c>
      <c r="F126" s="77" t="s">
        <v>5</v>
      </c>
      <c r="G126" s="79" t="s">
        <v>1130</v>
      </c>
      <c r="H126" s="78"/>
      <c r="I126" s="78"/>
      <c r="J126" s="78" t="s">
        <v>1167</v>
      </c>
      <c r="K126" s="81" t="s">
        <v>2</v>
      </c>
      <c r="L126" s="82">
        <f>IFERROR(VLOOKUP($B126,[1]Sheet2!$A:$L,11,FALSE()),"")</f>
        <v>45996</v>
      </c>
      <c r="M126" s="83">
        <v>46386</v>
      </c>
      <c r="N126" s="84">
        <v>46386</v>
      </c>
      <c r="O126" s="78" t="s">
        <v>1</v>
      </c>
      <c r="P126" s="78"/>
      <c r="Q126" s="78" t="str">
        <f>IFERROR(VLOOKUP($B126,[1]Sheet2!$A:$L,12,FALSE()),"")</f>
        <v>Dubai</v>
      </c>
      <c r="R126" s="85">
        <f t="shared" ca="1" si="2"/>
        <v>139</v>
      </c>
      <c r="S126" s="86" t="str">
        <f t="shared" ca="1" si="3"/>
        <v>✓ OK</v>
      </c>
    </row>
    <row r="127" spans="1:19" ht="15.75" customHeight="1">
      <c r="A127" s="75">
        <v>126</v>
      </c>
      <c r="B127" s="76" t="s">
        <v>1175</v>
      </c>
      <c r="C127" s="77" t="s">
        <v>1174</v>
      </c>
      <c r="D127" s="77" t="s">
        <v>1131</v>
      </c>
      <c r="E127" s="78" t="s">
        <v>6</v>
      </c>
      <c r="F127" s="77" t="s">
        <v>5</v>
      </c>
      <c r="G127" s="79" t="s">
        <v>1130</v>
      </c>
      <c r="H127" s="78"/>
      <c r="I127" s="78"/>
      <c r="J127" s="78" t="s">
        <v>1167</v>
      </c>
      <c r="K127" s="81" t="s">
        <v>2</v>
      </c>
      <c r="L127" s="82">
        <f>IFERROR(VLOOKUP($B127,[1]Sheet2!$A:$L,11,FALSE()),"")</f>
        <v>45996</v>
      </c>
      <c r="M127" s="83">
        <v>46386</v>
      </c>
      <c r="N127" s="84">
        <v>46386</v>
      </c>
      <c r="O127" s="78" t="s">
        <v>1</v>
      </c>
      <c r="P127" s="78"/>
      <c r="Q127" s="78" t="str">
        <f>IFERROR(VLOOKUP($B127,[1]Sheet2!$A:$L,12,FALSE()),"")</f>
        <v>Dubai</v>
      </c>
      <c r="R127" s="85">
        <f t="shared" ca="1" si="2"/>
        <v>139</v>
      </c>
      <c r="S127" s="86" t="str">
        <f t="shared" ca="1" si="3"/>
        <v>✓ OK</v>
      </c>
    </row>
    <row r="128" spans="1:19" ht="15.75" customHeight="1">
      <c r="A128" s="75">
        <v>127</v>
      </c>
      <c r="B128" s="76" t="s">
        <v>1173</v>
      </c>
      <c r="C128" s="77" t="s">
        <v>1172</v>
      </c>
      <c r="D128" s="77" t="s">
        <v>1131</v>
      </c>
      <c r="E128" s="78" t="s">
        <v>6</v>
      </c>
      <c r="F128" s="77" t="s">
        <v>5</v>
      </c>
      <c r="G128" s="79" t="s">
        <v>1130</v>
      </c>
      <c r="H128" s="78"/>
      <c r="I128" s="78"/>
      <c r="J128" s="78" t="s">
        <v>1167</v>
      </c>
      <c r="K128" s="81" t="s">
        <v>2</v>
      </c>
      <c r="L128" s="82">
        <f>IFERROR(VLOOKUP($B128,[1]Sheet2!$A:$L,11,FALSE()),"")</f>
        <v>45996</v>
      </c>
      <c r="M128" s="83">
        <v>46386</v>
      </c>
      <c r="N128" s="84">
        <v>46386</v>
      </c>
      <c r="O128" s="78" t="s">
        <v>1</v>
      </c>
      <c r="P128" s="78"/>
      <c r="Q128" s="78" t="str">
        <f>IFERROR(VLOOKUP($B128,[1]Sheet2!$A:$L,12,FALSE()),"")</f>
        <v>Dubai</v>
      </c>
      <c r="R128" s="85">
        <f t="shared" ca="1" si="2"/>
        <v>139</v>
      </c>
      <c r="S128" s="86" t="str">
        <f t="shared" ca="1" si="3"/>
        <v>✓ OK</v>
      </c>
    </row>
    <row r="129" spans="1:19" ht="15.75" customHeight="1">
      <c r="A129" s="75">
        <v>128</v>
      </c>
      <c r="B129" s="76" t="s">
        <v>1171</v>
      </c>
      <c r="C129" s="77" t="s">
        <v>1170</v>
      </c>
      <c r="D129" s="77" t="s">
        <v>1131</v>
      </c>
      <c r="E129" s="78" t="s">
        <v>6</v>
      </c>
      <c r="F129" s="77" t="s">
        <v>5</v>
      </c>
      <c r="G129" s="79" t="s">
        <v>1130</v>
      </c>
      <c r="H129" s="78"/>
      <c r="I129" s="78"/>
      <c r="J129" s="78" t="s">
        <v>1167</v>
      </c>
      <c r="K129" s="81" t="s">
        <v>2</v>
      </c>
      <c r="L129" s="82">
        <f>IFERROR(VLOOKUP($B129,[1]Sheet2!$A:$L,11,FALSE()),"")</f>
        <v>45996</v>
      </c>
      <c r="M129" s="83">
        <v>46386</v>
      </c>
      <c r="N129" s="84">
        <v>46386</v>
      </c>
      <c r="O129" s="78" t="s">
        <v>1</v>
      </c>
      <c r="P129" s="78"/>
      <c r="Q129" s="78" t="str">
        <f>IFERROR(VLOOKUP($B129,[1]Sheet2!$A:$L,12,FALSE()),"")</f>
        <v>Dubai</v>
      </c>
      <c r="R129" s="85">
        <f t="shared" ca="1" si="2"/>
        <v>139</v>
      </c>
      <c r="S129" s="86" t="str">
        <f t="shared" ca="1" si="3"/>
        <v>✓ OK</v>
      </c>
    </row>
    <row r="130" spans="1:19" ht="15.75" customHeight="1">
      <c r="A130" s="75">
        <v>129</v>
      </c>
      <c r="B130" s="76" t="s">
        <v>1169</v>
      </c>
      <c r="C130" s="77" t="s">
        <v>1168</v>
      </c>
      <c r="D130" s="77" t="s">
        <v>1131</v>
      </c>
      <c r="E130" s="78" t="s">
        <v>6</v>
      </c>
      <c r="F130" s="77" t="s">
        <v>5</v>
      </c>
      <c r="G130" s="79" t="s">
        <v>1130</v>
      </c>
      <c r="H130" s="78"/>
      <c r="I130" s="78"/>
      <c r="J130" s="78" t="s">
        <v>1167</v>
      </c>
      <c r="K130" s="81" t="s">
        <v>2</v>
      </c>
      <c r="L130" s="82">
        <f>IFERROR(VLOOKUP($B130,[1]Sheet2!$A:$L,11,FALSE()),"")</f>
        <v>45996</v>
      </c>
      <c r="M130" s="83">
        <v>46386</v>
      </c>
      <c r="N130" s="84">
        <v>46386</v>
      </c>
      <c r="O130" s="78" t="s">
        <v>1</v>
      </c>
      <c r="P130" s="78"/>
      <c r="Q130" s="78" t="str">
        <f>IFERROR(VLOOKUP($B130,[1]Sheet2!$A:$L,12,FALSE()),"")</f>
        <v>Dubai</v>
      </c>
      <c r="R130" s="85">
        <f t="shared" ref="R130:R193" ca="1" si="4">IF(ISNUMBER(M130),INT(M130)-INT(TODAY()),"")</f>
        <v>139</v>
      </c>
      <c r="S130" s="86" t="str">
        <f t="shared" ref="S130:S193" ca="1" si="5">IF(R130="","—",IF(R130&lt;0,"EXPIRED",IF(R130&lt;=30,"⚠ EXPIRES SOON",IF(R130&lt;=90,"⚡ 90 Days","✓ OK"))))</f>
        <v>✓ OK</v>
      </c>
    </row>
    <row r="131" spans="1:19" ht="15.75" customHeight="1">
      <c r="A131" s="75">
        <v>130</v>
      </c>
      <c r="B131" s="76" t="s">
        <v>1166</v>
      </c>
      <c r="C131" s="77" t="s">
        <v>1165</v>
      </c>
      <c r="D131" s="77" t="s">
        <v>1131</v>
      </c>
      <c r="E131" s="78" t="s">
        <v>6</v>
      </c>
      <c r="F131" s="77" t="s">
        <v>5</v>
      </c>
      <c r="G131" s="79" t="s">
        <v>1130</v>
      </c>
      <c r="H131" s="78"/>
      <c r="I131" s="78"/>
      <c r="J131" s="78" t="s">
        <v>45</v>
      </c>
      <c r="K131" s="81" t="s">
        <v>2</v>
      </c>
      <c r="L131" s="82">
        <f>IFERROR(VLOOKUP($B131,[1]Sheet2!$A:$L,11,FALSE()),"")</f>
        <v>45994</v>
      </c>
      <c r="M131" s="83">
        <v>46386</v>
      </c>
      <c r="N131" s="84">
        <v>46386</v>
      </c>
      <c r="O131" s="78" t="s">
        <v>1</v>
      </c>
      <c r="P131" s="78"/>
      <c r="Q131" s="78" t="str">
        <f>IFERROR(VLOOKUP($B131,[1]Sheet2!$A:$L,12,FALSE()),"")</f>
        <v>Dubai</v>
      </c>
      <c r="R131" s="85">
        <f t="shared" ca="1" si="4"/>
        <v>139</v>
      </c>
      <c r="S131" s="86" t="str">
        <f t="shared" ca="1" si="5"/>
        <v>✓ OK</v>
      </c>
    </row>
    <row r="132" spans="1:19" ht="15.75" customHeight="1">
      <c r="A132" s="75">
        <v>131</v>
      </c>
      <c r="B132" s="76" t="s">
        <v>1164</v>
      </c>
      <c r="C132" s="77" t="s">
        <v>1163</v>
      </c>
      <c r="D132" s="77" t="s">
        <v>1131</v>
      </c>
      <c r="E132" s="78" t="s">
        <v>6</v>
      </c>
      <c r="F132" s="77" t="s">
        <v>5</v>
      </c>
      <c r="G132" s="79" t="s">
        <v>1162</v>
      </c>
      <c r="H132" s="78"/>
      <c r="I132" s="78"/>
      <c r="J132" s="78" t="s">
        <v>1161</v>
      </c>
      <c r="K132" s="81" t="s">
        <v>2</v>
      </c>
      <c r="L132" s="82">
        <f>IFERROR(VLOOKUP($B132,[1]Sheet2!$A:$L,11,FALSE()),"")</f>
        <v>45996</v>
      </c>
      <c r="M132" s="83">
        <v>46386</v>
      </c>
      <c r="N132" s="84">
        <v>46386</v>
      </c>
      <c r="O132" s="78" t="s">
        <v>1</v>
      </c>
      <c r="P132" s="78"/>
      <c r="Q132" s="78" t="str">
        <f>IFERROR(VLOOKUP($B132,[1]Sheet2!$A:$L,12,FALSE()),"")</f>
        <v>Dubai</v>
      </c>
      <c r="R132" s="85">
        <f t="shared" ca="1" si="4"/>
        <v>139</v>
      </c>
      <c r="S132" s="86" t="str">
        <f t="shared" ca="1" si="5"/>
        <v>✓ OK</v>
      </c>
    </row>
    <row r="133" spans="1:19" ht="15.75" customHeight="1">
      <c r="A133" s="75">
        <v>132</v>
      </c>
      <c r="B133" s="76" t="s">
        <v>1160</v>
      </c>
      <c r="C133" s="77" t="s">
        <v>1159</v>
      </c>
      <c r="D133" s="77"/>
      <c r="E133" s="78" t="s">
        <v>6</v>
      </c>
      <c r="F133" s="77" t="s">
        <v>47</v>
      </c>
      <c r="G133" s="93" t="s">
        <v>658</v>
      </c>
      <c r="H133" s="78"/>
      <c r="I133" s="78"/>
      <c r="J133" s="78" t="s">
        <v>595</v>
      </c>
      <c r="K133" s="88" t="s">
        <v>42</v>
      </c>
      <c r="L133" s="82">
        <f>IFERROR(VLOOKUP($B133,[1]Sheet2!$A:$L,11,FALSE()),"")</f>
        <v>45996</v>
      </c>
      <c r="M133" s="83">
        <v>45893</v>
      </c>
      <c r="N133" s="78" t="s">
        <v>41</v>
      </c>
      <c r="O133" s="78" t="s">
        <v>40</v>
      </c>
      <c r="P133" s="78"/>
      <c r="Q133" s="78" t="str">
        <f>IFERROR(VLOOKUP($B133,[1]Sheet2!$A:$L,12,FALSE()),"")</f>
        <v>Dubai</v>
      </c>
      <c r="R133" s="85">
        <f t="shared" ca="1" si="4"/>
        <v>-354</v>
      </c>
      <c r="S133" s="86" t="str">
        <f t="shared" ca="1" si="5"/>
        <v>EXPIRED</v>
      </c>
    </row>
    <row r="134" spans="1:19" ht="15.75" customHeight="1">
      <c r="A134" s="75">
        <v>134</v>
      </c>
      <c r="B134" s="76" t="s">
        <v>1158</v>
      </c>
      <c r="C134" s="77" t="s">
        <v>1157</v>
      </c>
      <c r="D134" s="77" t="s">
        <v>1131</v>
      </c>
      <c r="E134" s="78" t="s">
        <v>6</v>
      </c>
      <c r="F134" s="77" t="s">
        <v>5</v>
      </c>
      <c r="G134" s="79" t="s">
        <v>1130</v>
      </c>
      <c r="H134" s="78"/>
      <c r="I134" s="78"/>
      <c r="J134" s="80" t="s">
        <v>1129</v>
      </c>
      <c r="K134" s="81" t="s">
        <v>2</v>
      </c>
      <c r="L134" s="82">
        <f>IFERROR(VLOOKUP($B134,[1]Sheet2!$A:$L,11,FALSE()),"")</f>
        <v>45995</v>
      </c>
      <c r="M134" s="83">
        <v>46386</v>
      </c>
      <c r="N134" s="84">
        <v>46386</v>
      </c>
      <c r="O134" s="78" t="s">
        <v>1</v>
      </c>
      <c r="P134" s="78"/>
      <c r="Q134" s="78" t="str">
        <f>IFERROR(VLOOKUP($B134,[1]Sheet2!$A:$L,12,FALSE()),"")</f>
        <v>Dubai</v>
      </c>
      <c r="R134" s="85">
        <f t="shared" ca="1" si="4"/>
        <v>139</v>
      </c>
      <c r="S134" s="86" t="str">
        <f t="shared" ca="1" si="5"/>
        <v>✓ OK</v>
      </c>
    </row>
    <row r="135" spans="1:19" ht="15.75" customHeight="1">
      <c r="A135" s="75">
        <v>135</v>
      </c>
      <c r="B135" s="76" t="s">
        <v>1156</v>
      </c>
      <c r="C135" s="77" t="s">
        <v>1155</v>
      </c>
      <c r="D135" s="77" t="s">
        <v>1131</v>
      </c>
      <c r="E135" s="78" t="s">
        <v>6</v>
      </c>
      <c r="F135" s="77" t="s">
        <v>5</v>
      </c>
      <c r="G135" s="79" t="s">
        <v>1130</v>
      </c>
      <c r="H135" s="78"/>
      <c r="I135" s="78"/>
      <c r="J135" s="80" t="s">
        <v>1129</v>
      </c>
      <c r="K135" s="81" t="s">
        <v>2</v>
      </c>
      <c r="L135" s="82">
        <f>IFERROR(VLOOKUP($B135,[1]Sheet2!$A:$L,11,FALSE()),"")</f>
        <v>45995</v>
      </c>
      <c r="M135" s="83">
        <v>46386</v>
      </c>
      <c r="N135" s="84">
        <v>46386</v>
      </c>
      <c r="O135" s="78" t="s">
        <v>1</v>
      </c>
      <c r="P135" s="78"/>
      <c r="Q135" s="78" t="str">
        <f>IFERROR(VLOOKUP($B135,[1]Sheet2!$A:$L,12,FALSE()),"")</f>
        <v>Dubai</v>
      </c>
      <c r="R135" s="85">
        <f t="shared" ca="1" si="4"/>
        <v>139</v>
      </c>
      <c r="S135" s="86" t="str">
        <f t="shared" ca="1" si="5"/>
        <v>✓ OK</v>
      </c>
    </row>
    <row r="136" spans="1:19" ht="15.75" customHeight="1">
      <c r="A136" s="75">
        <v>136</v>
      </c>
      <c r="B136" s="76" t="s">
        <v>1154</v>
      </c>
      <c r="C136" s="77" t="s">
        <v>1153</v>
      </c>
      <c r="D136" s="77" t="s">
        <v>1131</v>
      </c>
      <c r="E136" s="78" t="s">
        <v>6</v>
      </c>
      <c r="F136" s="77" t="s">
        <v>5</v>
      </c>
      <c r="G136" s="79" t="s">
        <v>1130</v>
      </c>
      <c r="H136" s="78"/>
      <c r="I136" s="78"/>
      <c r="J136" s="80" t="s">
        <v>1129</v>
      </c>
      <c r="K136" s="81" t="s">
        <v>2</v>
      </c>
      <c r="L136" s="82">
        <f>IFERROR(VLOOKUP($B136,[1]Sheet2!$A:$L,11,FALSE()),"")</f>
        <v>45996</v>
      </c>
      <c r="M136" s="83">
        <v>46386</v>
      </c>
      <c r="N136" s="84">
        <v>46386</v>
      </c>
      <c r="O136" s="78" t="s">
        <v>1</v>
      </c>
      <c r="P136" s="78"/>
      <c r="Q136" s="78" t="str">
        <f>IFERROR(VLOOKUP($B136,[1]Sheet2!$A:$L,12,FALSE()),"")</f>
        <v>Dubai</v>
      </c>
      <c r="R136" s="85">
        <f t="shared" ca="1" si="4"/>
        <v>139</v>
      </c>
      <c r="S136" s="86" t="str">
        <f t="shared" ca="1" si="5"/>
        <v>✓ OK</v>
      </c>
    </row>
    <row r="137" spans="1:19" ht="15.75" customHeight="1">
      <c r="A137" s="75">
        <v>137</v>
      </c>
      <c r="B137" s="76" t="s">
        <v>1152</v>
      </c>
      <c r="C137" s="77" t="s">
        <v>1151</v>
      </c>
      <c r="D137" s="77" t="s">
        <v>65</v>
      </c>
      <c r="E137" s="78" t="s">
        <v>6</v>
      </c>
      <c r="F137" s="77" t="s">
        <v>5</v>
      </c>
      <c r="G137" s="79" t="s">
        <v>64</v>
      </c>
      <c r="H137" s="78" t="s">
        <v>63</v>
      </c>
      <c r="I137" s="78" t="s">
        <v>62</v>
      </c>
      <c r="J137" s="78" t="s">
        <v>61</v>
      </c>
      <c r="K137" s="81" t="s">
        <v>2</v>
      </c>
      <c r="L137" s="82">
        <f>IFERROR(VLOOKUP($B137,[1]Sheet2!$A:$L,11,FALSE()),"")</f>
        <v>45994</v>
      </c>
      <c r="M137" s="83">
        <v>46387</v>
      </c>
      <c r="N137" s="90">
        <v>46387</v>
      </c>
      <c r="O137" s="78" t="s">
        <v>1</v>
      </c>
      <c r="P137" s="78"/>
      <c r="Q137" s="78" t="str">
        <f>IFERROR(VLOOKUP($B137,[1]Sheet2!$A:$L,12,FALSE()),"")</f>
        <v>Dubai</v>
      </c>
      <c r="R137" s="85">
        <f t="shared" ca="1" si="4"/>
        <v>140</v>
      </c>
      <c r="S137" s="86" t="str">
        <f t="shared" ca="1" si="5"/>
        <v>✓ OK</v>
      </c>
    </row>
    <row r="138" spans="1:19" ht="15.75" customHeight="1">
      <c r="A138" s="75">
        <v>138</v>
      </c>
      <c r="B138" s="76" t="s">
        <v>1150</v>
      </c>
      <c r="C138" s="77" t="s">
        <v>1149</v>
      </c>
      <c r="D138" s="77" t="s">
        <v>65</v>
      </c>
      <c r="E138" s="78" t="s">
        <v>6</v>
      </c>
      <c r="F138" s="77" t="s">
        <v>5</v>
      </c>
      <c r="G138" s="79" t="s">
        <v>64</v>
      </c>
      <c r="H138" s="78" t="s">
        <v>63</v>
      </c>
      <c r="I138" s="78" t="s">
        <v>62</v>
      </c>
      <c r="J138" s="78" t="s">
        <v>61</v>
      </c>
      <c r="K138" s="81" t="s">
        <v>2</v>
      </c>
      <c r="L138" s="82">
        <f>IFERROR(VLOOKUP($B138,[1]Sheet2!$A:$L,11,FALSE()),"")</f>
        <v>45996</v>
      </c>
      <c r="M138" s="83">
        <v>46387</v>
      </c>
      <c r="N138" s="90">
        <v>46387</v>
      </c>
      <c r="O138" s="78" t="s">
        <v>1</v>
      </c>
      <c r="P138" s="78" t="s">
        <v>0</v>
      </c>
      <c r="Q138" s="78" t="str">
        <f>IFERROR(VLOOKUP($B138,[1]Sheet2!$A:$L,12,FALSE()),"")</f>
        <v>Dubai</v>
      </c>
      <c r="R138" s="85">
        <f t="shared" ca="1" si="4"/>
        <v>140</v>
      </c>
      <c r="S138" s="86" t="str">
        <f t="shared" ca="1" si="5"/>
        <v>✓ OK</v>
      </c>
    </row>
    <row r="139" spans="1:19" ht="15.75" customHeight="1">
      <c r="A139" s="75">
        <v>139</v>
      </c>
      <c r="B139" s="76" t="s">
        <v>1148</v>
      </c>
      <c r="C139" s="77" t="s">
        <v>66</v>
      </c>
      <c r="D139" s="77" t="s">
        <v>65</v>
      </c>
      <c r="E139" s="78" t="s">
        <v>6</v>
      </c>
      <c r="F139" s="77" t="s">
        <v>5</v>
      </c>
      <c r="G139" s="79" t="s">
        <v>64</v>
      </c>
      <c r="H139" s="78" t="s">
        <v>63</v>
      </c>
      <c r="I139" s="78" t="s">
        <v>62</v>
      </c>
      <c r="J139" s="78" t="s">
        <v>1147</v>
      </c>
      <c r="K139" s="81" t="s">
        <v>2</v>
      </c>
      <c r="L139" s="82">
        <f>IFERROR(VLOOKUP($B139,[1]Sheet2!$A:$L,11,FALSE()),"")</f>
        <v>45996</v>
      </c>
      <c r="M139" s="83">
        <v>46387</v>
      </c>
      <c r="N139" s="90">
        <v>46387</v>
      </c>
      <c r="O139" s="78" t="s">
        <v>1</v>
      </c>
      <c r="P139" s="78" t="s">
        <v>0</v>
      </c>
      <c r="Q139" s="78" t="str">
        <f>IFERROR(VLOOKUP($B139,[1]Sheet2!$A:$L,12,FALSE()),"")</f>
        <v>Dubai</v>
      </c>
      <c r="R139" s="85">
        <f t="shared" ca="1" si="4"/>
        <v>140</v>
      </c>
      <c r="S139" s="86" t="str">
        <f t="shared" ca="1" si="5"/>
        <v>✓ OK</v>
      </c>
    </row>
    <row r="140" spans="1:19" ht="15.75" customHeight="1">
      <c r="A140" s="75">
        <v>140</v>
      </c>
      <c r="B140" s="76" t="s">
        <v>1146</v>
      </c>
      <c r="C140" s="77" t="s">
        <v>1145</v>
      </c>
      <c r="D140" s="77" t="s">
        <v>1144</v>
      </c>
      <c r="E140" s="78" t="s">
        <v>6</v>
      </c>
      <c r="F140" s="77" t="s">
        <v>5</v>
      </c>
      <c r="G140" s="79" t="s">
        <v>138</v>
      </c>
      <c r="H140" s="87" t="s">
        <v>1143</v>
      </c>
      <c r="I140" s="94" t="s">
        <v>1142</v>
      </c>
      <c r="J140" s="78" t="s">
        <v>3</v>
      </c>
      <c r="K140" s="81" t="s">
        <v>2</v>
      </c>
      <c r="L140" s="82">
        <f>IFERROR(VLOOKUP($B140,[1]Sheet2!$A:$L,11,FALSE()),"")</f>
        <v>45996</v>
      </c>
      <c r="M140" s="83">
        <v>46386</v>
      </c>
      <c r="N140" s="84">
        <v>46386</v>
      </c>
      <c r="O140" s="78" t="s">
        <v>1</v>
      </c>
      <c r="P140" s="78"/>
      <c r="Q140" s="78" t="str">
        <f>IFERROR(VLOOKUP($B140,[1]Sheet2!$A:$L,12,FALSE()),"")</f>
        <v>Dubai</v>
      </c>
      <c r="R140" s="85">
        <f t="shared" ca="1" si="4"/>
        <v>139</v>
      </c>
      <c r="S140" s="86" t="str">
        <f t="shared" ca="1" si="5"/>
        <v>✓ OK</v>
      </c>
    </row>
    <row r="141" spans="1:19" ht="15.75" customHeight="1">
      <c r="A141" s="75">
        <v>143</v>
      </c>
      <c r="B141" s="76" t="s">
        <v>1141</v>
      </c>
      <c r="C141" s="77" t="s">
        <v>1140</v>
      </c>
      <c r="D141" s="77" t="s">
        <v>1139</v>
      </c>
      <c r="E141" s="78" t="s">
        <v>6</v>
      </c>
      <c r="F141" s="77" t="s">
        <v>5</v>
      </c>
      <c r="G141" s="79" t="s">
        <v>1138</v>
      </c>
      <c r="H141" s="87" t="s">
        <v>1137</v>
      </c>
      <c r="I141" s="78" t="s">
        <v>1136</v>
      </c>
      <c r="J141" s="78" t="s">
        <v>45</v>
      </c>
      <c r="K141" s="88" t="s">
        <v>42</v>
      </c>
      <c r="L141" s="82">
        <f>IFERROR(VLOOKUP($B141,[1]Sheet2!$A:$L,11,FALSE()),"")</f>
        <v>45996</v>
      </c>
      <c r="M141" s="90">
        <v>46386</v>
      </c>
      <c r="N141" s="90">
        <v>46386</v>
      </c>
      <c r="O141" s="78" t="s">
        <v>1</v>
      </c>
      <c r="P141" s="78"/>
      <c r="Q141" s="78" t="str">
        <f>IFERROR(VLOOKUP($B141,[1]Sheet2!$A:$L,12,FALSE()),"")</f>
        <v>Dubai</v>
      </c>
      <c r="R141" s="85">
        <f t="shared" ca="1" si="4"/>
        <v>139</v>
      </c>
      <c r="S141" s="86" t="str">
        <f t="shared" ca="1" si="5"/>
        <v>✓ OK</v>
      </c>
    </row>
    <row r="142" spans="1:19" ht="15.75" customHeight="1">
      <c r="A142" s="75">
        <v>144</v>
      </c>
      <c r="B142" s="76" t="s">
        <v>1135</v>
      </c>
      <c r="C142" s="77" t="s">
        <v>1134</v>
      </c>
      <c r="D142" s="77" t="s">
        <v>1131</v>
      </c>
      <c r="E142" s="78" t="s">
        <v>6</v>
      </c>
      <c r="F142" s="77" t="s">
        <v>5</v>
      </c>
      <c r="G142" s="79" t="s">
        <v>1130</v>
      </c>
      <c r="H142" s="78"/>
      <c r="I142" s="78"/>
      <c r="J142" s="78" t="s">
        <v>45</v>
      </c>
      <c r="K142" s="81" t="s">
        <v>2</v>
      </c>
      <c r="L142" s="82">
        <f>IFERROR(VLOOKUP($B142,[1]Sheet2!$A:$L,11,FALSE()),"")</f>
        <v>45995</v>
      </c>
      <c r="M142" s="83">
        <v>46386</v>
      </c>
      <c r="N142" s="84">
        <v>46386</v>
      </c>
      <c r="O142" s="78" t="s">
        <v>1</v>
      </c>
      <c r="P142" s="78"/>
      <c r="Q142" s="78" t="str">
        <f>IFERROR(VLOOKUP($B142,[1]Sheet2!$A:$L,12,FALSE()),"")</f>
        <v>Dubai</v>
      </c>
      <c r="R142" s="85">
        <f t="shared" ca="1" si="4"/>
        <v>139</v>
      </c>
      <c r="S142" s="86" t="str">
        <f t="shared" ca="1" si="5"/>
        <v>✓ OK</v>
      </c>
    </row>
    <row r="143" spans="1:19" ht="15.75" customHeight="1">
      <c r="A143" s="75">
        <v>145</v>
      </c>
      <c r="B143" s="76" t="s">
        <v>1133</v>
      </c>
      <c r="C143" s="77" t="s">
        <v>1132</v>
      </c>
      <c r="D143" s="77" t="s">
        <v>1131</v>
      </c>
      <c r="E143" s="78" t="s">
        <v>6</v>
      </c>
      <c r="F143" s="77" t="s">
        <v>5</v>
      </c>
      <c r="G143" s="79" t="s">
        <v>1130</v>
      </c>
      <c r="H143" s="78"/>
      <c r="I143" s="78"/>
      <c r="J143" s="78" t="s">
        <v>1129</v>
      </c>
      <c r="K143" s="88" t="s">
        <v>42</v>
      </c>
      <c r="L143" s="82">
        <f>IFERROR(VLOOKUP($B143,[1]Sheet2!$A:$L,11,FALSE()),"")</f>
        <v>46013</v>
      </c>
      <c r="M143" s="90">
        <v>46386</v>
      </c>
      <c r="N143" s="84">
        <v>46386</v>
      </c>
      <c r="O143" s="78" t="s">
        <v>1</v>
      </c>
      <c r="P143" s="78"/>
      <c r="Q143" s="78" t="str">
        <f>IFERROR(VLOOKUP($B143,[1]Sheet2!$A:$L,12,FALSE()),"")</f>
        <v>Dubai</v>
      </c>
      <c r="R143" s="85">
        <f t="shared" ca="1" si="4"/>
        <v>139</v>
      </c>
      <c r="S143" s="86" t="str">
        <f t="shared" ca="1" si="5"/>
        <v>✓ OK</v>
      </c>
    </row>
    <row r="144" spans="1:19" ht="15.75" customHeight="1">
      <c r="A144" s="75">
        <v>147</v>
      </c>
      <c r="B144" s="76" t="s">
        <v>1128</v>
      </c>
      <c r="C144" s="77" t="s">
        <v>1127</v>
      </c>
      <c r="D144" s="77"/>
      <c r="E144" s="78" t="s">
        <v>6</v>
      </c>
      <c r="F144" s="77" t="s">
        <v>112</v>
      </c>
      <c r="G144" s="79" t="s">
        <v>111</v>
      </c>
      <c r="H144" s="78" t="s">
        <v>1126</v>
      </c>
      <c r="I144" s="78" t="s">
        <v>1125</v>
      </c>
      <c r="J144" s="78" t="s">
        <v>1124</v>
      </c>
      <c r="K144" s="81" t="s">
        <v>42</v>
      </c>
      <c r="L144" s="82">
        <f>IFERROR(VLOOKUP($B144,[1]Sheet2!$A:$L,11,FALSE()),"")</f>
        <v>46062</v>
      </c>
      <c r="M144" s="83">
        <v>46609</v>
      </c>
      <c r="N144" s="84">
        <v>46386</v>
      </c>
      <c r="O144" s="78" t="s">
        <v>1</v>
      </c>
      <c r="P144" s="78"/>
      <c r="Q144" s="78" t="str">
        <f>IFERROR(VLOOKUP($B144,[1]Sheet2!$A:$L,12,FALSE()),"")</f>
        <v>Dubai</v>
      </c>
      <c r="R144" s="85">
        <f t="shared" ca="1" si="4"/>
        <v>362</v>
      </c>
      <c r="S144" s="86" t="str">
        <f t="shared" ca="1" si="5"/>
        <v>✓ OK</v>
      </c>
    </row>
    <row r="145" spans="1:19" ht="15.75" customHeight="1">
      <c r="A145" s="75">
        <v>148</v>
      </c>
      <c r="B145" s="76" t="s">
        <v>1123</v>
      </c>
      <c r="C145" s="77" t="s">
        <v>1119</v>
      </c>
      <c r="D145" s="77" t="s">
        <v>1119</v>
      </c>
      <c r="E145" s="78" t="s">
        <v>6</v>
      </c>
      <c r="F145" s="77" t="s">
        <v>5</v>
      </c>
      <c r="G145" s="79" t="s">
        <v>4</v>
      </c>
      <c r="H145" s="78" t="s">
        <v>1122</v>
      </c>
      <c r="I145" s="78" t="s">
        <v>1121</v>
      </c>
      <c r="J145" s="78" t="s">
        <v>198</v>
      </c>
      <c r="K145" s="95" t="s">
        <v>2</v>
      </c>
      <c r="L145" s="82">
        <f>IFERROR(VLOOKUP($B145,[1]Sheet2!$A:$L,11,FALSE()),"")</f>
        <v>46148</v>
      </c>
      <c r="M145" s="90">
        <v>46386</v>
      </c>
      <c r="N145" s="84">
        <v>46386</v>
      </c>
      <c r="O145" s="78" t="s">
        <v>1</v>
      </c>
      <c r="P145" s="78"/>
      <c r="Q145" s="78" t="str">
        <f>IFERROR(VLOOKUP($B145,[1]Sheet2!$A:$L,12,FALSE()),"")</f>
        <v>Dubai</v>
      </c>
      <c r="R145" s="85">
        <f t="shared" ca="1" si="4"/>
        <v>139</v>
      </c>
      <c r="S145" s="86" t="str">
        <f t="shared" ca="1" si="5"/>
        <v>✓ OK</v>
      </c>
    </row>
    <row r="146" spans="1:19" ht="15.75" customHeight="1">
      <c r="A146" s="75">
        <v>149</v>
      </c>
      <c r="B146" s="76" t="s">
        <v>1120</v>
      </c>
      <c r="C146" s="77" t="s">
        <v>1119</v>
      </c>
      <c r="D146" s="77" t="s">
        <v>1118</v>
      </c>
      <c r="E146" s="78" t="s">
        <v>6</v>
      </c>
      <c r="F146" s="77" t="s">
        <v>5</v>
      </c>
      <c r="G146" s="79" t="s">
        <v>4</v>
      </c>
      <c r="H146" s="78"/>
      <c r="I146" s="78"/>
      <c r="J146" s="78" t="s">
        <v>198</v>
      </c>
      <c r="K146" s="81" t="s">
        <v>2</v>
      </c>
      <c r="L146" s="82" t="s">
        <v>1117</v>
      </c>
      <c r="M146" s="90">
        <v>46386</v>
      </c>
      <c r="N146" s="84">
        <v>46386</v>
      </c>
      <c r="O146" s="78" t="s">
        <v>1</v>
      </c>
      <c r="P146" s="78"/>
      <c r="Q146" s="78" t="s">
        <v>57</v>
      </c>
      <c r="R146" s="85">
        <f t="shared" ca="1" si="4"/>
        <v>139</v>
      </c>
      <c r="S146" s="86" t="str">
        <f t="shared" ca="1" si="5"/>
        <v>✓ OK</v>
      </c>
    </row>
    <row r="147" spans="1:19" ht="15.75" customHeight="1">
      <c r="A147" s="75">
        <v>150</v>
      </c>
      <c r="B147" s="5" t="s">
        <v>1116</v>
      </c>
      <c r="C147" s="77" t="s">
        <v>1111</v>
      </c>
      <c r="D147" s="77" t="s">
        <v>1115</v>
      </c>
      <c r="E147" s="78" t="s">
        <v>6</v>
      </c>
      <c r="F147" s="77" t="s">
        <v>5</v>
      </c>
      <c r="G147" s="79" t="s">
        <v>4</v>
      </c>
      <c r="H147" s="78" t="s">
        <v>1114</v>
      </c>
      <c r="I147" s="78" t="s">
        <v>1113</v>
      </c>
      <c r="J147" s="80" t="s">
        <v>198</v>
      </c>
      <c r="K147" s="81" t="s">
        <v>2</v>
      </c>
      <c r="L147" s="82">
        <f>IFERROR(VLOOKUP($B147,[1]Sheet2!$A:$L,11,FALSE()),"")</f>
        <v>46162</v>
      </c>
      <c r="M147" s="83">
        <v>46386</v>
      </c>
      <c r="N147" s="84">
        <v>46386</v>
      </c>
      <c r="O147" s="78" t="s">
        <v>1</v>
      </c>
      <c r="P147" s="78"/>
      <c r="Q147" s="78" t="str">
        <f>IFERROR(VLOOKUP($B147,[1]Sheet2!$A:$L,12,FALSE()),"")</f>
        <v>Dubai</v>
      </c>
      <c r="R147" s="85">
        <f t="shared" ca="1" si="4"/>
        <v>139</v>
      </c>
      <c r="S147" s="86" t="str">
        <f t="shared" ca="1" si="5"/>
        <v>✓ OK</v>
      </c>
    </row>
    <row r="148" spans="1:19" ht="15.75" customHeight="1">
      <c r="A148" s="75">
        <v>151</v>
      </c>
      <c r="B148" s="76" t="s">
        <v>1112</v>
      </c>
      <c r="C148" s="77" t="s">
        <v>1111</v>
      </c>
      <c r="D148" s="77" t="s">
        <v>1110</v>
      </c>
      <c r="E148" s="78" t="s">
        <v>6</v>
      </c>
      <c r="F148" s="77" t="s">
        <v>5</v>
      </c>
      <c r="G148" s="79" t="s">
        <v>4</v>
      </c>
      <c r="H148" s="78"/>
      <c r="I148" s="78"/>
      <c r="J148" s="80" t="s">
        <v>198</v>
      </c>
      <c r="K148" s="81" t="s">
        <v>2</v>
      </c>
      <c r="L148" s="82">
        <f>IFERROR(VLOOKUP($B148,[1]Sheet2!$A:$L,11,FALSE()),"")</f>
        <v>46156</v>
      </c>
      <c r="M148" s="83">
        <v>46386</v>
      </c>
      <c r="N148" s="84">
        <v>46386</v>
      </c>
      <c r="O148" s="78" t="s">
        <v>1</v>
      </c>
      <c r="P148" s="78" t="s">
        <v>0</v>
      </c>
      <c r="Q148" s="78"/>
      <c r="R148" s="85">
        <f t="shared" ca="1" si="4"/>
        <v>139</v>
      </c>
      <c r="S148" s="86" t="str">
        <f t="shared" ca="1" si="5"/>
        <v>✓ OK</v>
      </c>
    </row>
    <row r="149" spans="1:19" ht="15.75" customHeight="1">
      <c r="A149" s="75">
        <v>152</v>
      </c>
      <c r="B149" s="76" t="s">
        <v>1109</v>
      </c>
      <c r="C149" s="77" t="s">
        <v>1108</v>
      </c>
      <c r="D149" s="77" t="s">
        <v>1107</v>
      </c>
      <c r="E149" s="78" t="s">
        <v>6</v>
      </c>
      <c r="F149" s="77" t="s">
        <v>5</v>
      </c>
      <c r="G149" s="79" t="s">
        <v>4</v>
      </c>
      <c r="H149" s="78"/>
      <c r="I149" s="78"/>
      <c r="J149" s="80" t="s">
        <v>99</v>
      </c>
      <c r="K149" s="95" t="s">
        <v>2</v>
      </c>
      <c r="L149" s="82">
        <f>IFERROR(VLOOKUP($B149,[1]Sheet2!$A:$L,11,FALSE()),"")</f>
        <v>46164</v>
      </c>
      <c r="M149" s="83">
        <v>46386</v>
      </c>
      <c r="N149" s="84">
        <v>46386</v>
      </c>
      <c r="O149" s="78" t="s">
        <v>1</v>
      </c>
      <c r="P149" s="78"/>
      <c r="Q149" s="78" t="str">
        <f>IFERROR(VLOOKUP($B149,[1]Sheet2!$A:$L,12,FALSE()),"")</f>
        <v>Dubai</v>
      </c>
      <c r="R149" s="85">
        <f t="shared" ca="1" si="4"/>
        <v>139</v>
      </c>
      <c r="S149" s="86" t="str">
        <f t="shared" ca="1" si="5"/>
        <v>✓ OK</v>
      </c>
    </row>
    <row r="150" spans="1:19" ht="15.75" customHeight="1">
      <c r="A150" s="75">
        <v>153</v>
      </c>
      <c r="B150" s="76" t="s">
        <v>1106</v>
      </c>
      <c r="C150" s="77" t="s">
        <v>1105</v>
      </c>
      <c r="D150" s="77" t="s">
        <v>1102</v>
      </c>
      <c r="E150" s="78" t="s">
        <v>6</v>
      </c>
      <c r="F150" s="77" t="s">
        <v>53</v>
      </c>
      <c r="G150" s="79" t="s">
        <v>1087</v>
      </c>
      <c r="H150" s="78"/>
      <c r="I150" s="78"/>
      <c r="J150" s="78" t="s">
        <v>1101</v>
      </c>
      <c r="K150" s="81" t="s">
        <v>2</v>
      </c>
      <c r="L150" s="82">
        <f>IFERROR(VLOOKUP($B150,[1]Sheet2!$A:$L,11,FALSE()),"")</f>
        <v>45996</v>
      </c>
      <c r="M150" s="83">
        <v>46386</v>
      </c>
      <c r="N150" s="84">
        <v>46386</v>
      </c>
      <c r="O150" s="78" t="s">
        <v>1</v>
      </c>
      <c r="P150" s="78"/>
      <c r="Q150" s="78" t="str">
        <f>IFERROR(VLOOKUP($B150,[1]Sheet2!$A:$L,12,FALSE()),"")</f>
        <v>Dubai</v>
      </c>
      <c r="R150" s="85">
        <f t="shared" ca="1" si="4"/>
        <v>139</v>
      </c>
      <c r="S150" s="86" t="str">
        <f t="shared" ca="1" si="5"/>
        <v>✓ OK</v>
      </c>
    </row>
    <row r="151" spans="1:19" ht="15.75" customHeight="1">
      <c r="A151" s="75">
        <v>154</v>
      </c>
      <c r="B151" s="76" t="s">
        <v>1104</v>
      </c>
      <c r="C151" s="77" t="s">
        <v>1103</v>
      </c>
      <c r="D151" s="77" t="s">
        <v>1102</v>
      </c>
      <c r="E151" s="78" t="s">
        <v>6</v>
      </c>
      <c r="F151" s="77" t="s">
        <v>53</v>
      </c>
      <c r="G151" s="79" t="s">
        <v>78</v>
      </c>
      <c r="H151" s="78"/>
      <c r="I151" s="78"/>
      <c r="J151" s="78" t="s">
        <v>1101</v>
      </c>
      <c r="K151" s="81" t="s">
        <v>2</v>
      </c>
      <c r="L151" s="82">
        <f>IFERROR(VLOOKUP($B151,[1]Sheet2!$A:$L,11,FALSE()),"")</f>
        <v>45996</v>
      </c>
      <c r="M151" s="83">
        <v>46386</v>
      </c>
      <c r="N151" s="84">
        <v>46386</v>
      </c>
      <c r="O151" s="78" t="s">
        <v>1</v>
      </c>
      <c r="P151" s="78"/>
      <c r="Q151" s="78" t="str">
        <f>IFERROR(VLOOKUP($B151,[1]Sheet2!$A:$L,12,FALSE()),"")</f>
        <v>Dubai</v>
      </c>
      <c r="R151" s="85">
        <f t="shared" ca="1" si="4"/>
        <v>139</v>
      </c>
      <c r="S151" s="86" t="str">
        <f t="shared" ca="1" si="5"/>
        <v>✓ OK</v>
      </c>
    </row>
    <row r="152" spans="1:19" ht="15.75" customHeight="1">
      <c r="A152" s="75">
        <v>155</v>
      </c>
      <c r="B152" s="76" t="s">
        <v>1100</v>
      </c>
      <c r="C152" s="77" t="s">
        <v>1099</v>
      </c>
      <c r="D152" s="77" t="s">
        <v>1098</v>
      </c>
      <c r="E152" s="78" t="s">
        <v>6</v>
      </c>
      <c r="F152" s="77" t="s">
        <v>53</v>
      </c>
      <c r="G152" s="79" t="s">
        <v>78</v>
      </c>
      <c r="H152" s="78"/>
      <c r="I152" s="78"/>
      <c r="J152" s="78" t="s">
        <v>1097</v>
      </c>
      <c r="K152" s="81" t="s">
        <v>2</v>
      </c>
      <c r="L152" s="82">
        <f>IFERROR(VLOOKUP($B152,[1]Sheet2!$A:$L,11,FALSE()),"")</f>
        <v>45996</v>
      </c>
      <c r="M152" s="83">
        <v>46386</v>
      </c>
      <c r="N152" s="84">
        <v>46386</v>
      </c>
      <c r="O152" s="78" t="s">
        <v>1</v>
      </c>
      <c r="P152" s="78"/>
      <c r="Q152" s="78" t="str">
        <f>IFERROR(VLOOKUP($B152,[1]Sheet2!$A:$L,12,FALSE()),"")</f>
        <v>Dubai</v>
      </c>
      <c r="R152" s="85">
        <f t="shared" ca="1" si="4"/>
        <v>139</v>
      </c>
      <c r="S152" s="86" t="str">
        <f t="shared" ca="1" si="5"/>
        <v>✓ OK</v>
      </c>
    </row>
    <row r="153" spans="1:19" ht="15.75" customHeight="1">
      <c r="A153" s="75">
        <v>156</v>
      </c>
      <c r="B153" s="76" t="s">
        <v>1096</v>
      </c>
      <c r="C153" s="77" t="s">
        <v>1095</v>
      </c>
      <c r="D153" s="77" t="s">
        <v>1094</v>
      </c>
      <c r="E153" s="78" t="s">
        <v>6</v>
      </c>
      <c r="F153" s="77" t="s">
        <v>53</v>
      </c>
      <c r="G153" s="79" t="s">
        <v>1087</v>
      </c>
      <c r="H153" s="78"/>
      <c r="I153" s="78"/>
      <c r="J153" s="78" t="s">
        <v>1093</v>
      </c>
      <c r="K153" s="88" t="s">
        <v>42</v>
      </c>
      <c r="L153" s="82" t="str">
        <f>IFERROR(VLOOKUP($B153,[1]Sheet2!$A:$L,11,FALSE()),"")</f>
        <v/>
      </c>
      <c r="M153" s="90">
        <v>45961</v>
      </c>
      <c r="N153" s="78" t="s">
        <v>41</v>
      </c>
      <c r="O153" s="78" t="s">
        <v>41</v>
      </c>
      <c r="P153" s="78"/>
      <c r="Q153" s="78" t="str">
        <f>IFERROR(VLOOKUP($B153,[1]Sheet2!$A:$L,12,FALSE()),"")</f>
        <v/>
      </c>
      <c r="R153" s="85">
        <f t="shared" ca="1" si="4"/>
        <v>-286</v>
      </c>
      <c r="S153" s="86" t="str">
        <f t="shared" ca="1" si="5"/>
        <v>EXPIRED</v>
      </c>
    </row>
    <row r="154" spans="1:19" ht="15.75" customHeight="1">
      <c r="A154" s="75">
        <v>157</v>
      </c>
      <c r="B154" s="76" t="s">
        <v>1092</v>
      </c>
      <c r="C154" s="77" t="s">
        <v>1091</v>
      </c>
      <c r="D154" s="77" t="s">
        <v>1070</v>
      </c>
      <c r="E154" s="78" t="s">
        <v>6</v>
      </c>
      <c r="F154" s="77" t="s">
        <v>53</v>
      </c>
      <c r="G154" s="79" t="s">
        <v>129</v>
      </c>
      <c r="H154" s="78"/>
      <c r="I154" s="78"/>
      <c r="J154" s="78" t="s">
        <v>1090</v>
      </c>
      <c r="K154" s="88" t="s">
        <v>42</v>
      </c>
      <c r="L154" s="82" t="str">
        <f>IFERROR(VLOOKUP($B154,[1]Sheet2!$A:$L,11,FALSE()),"")</f>
        <v/>
      </c>
      <c r="M154" s="83">
        <v>45765</v>
      </c>
      <c r="N154" s="78" t="s">
        <v>41</v>
      </c>
      <c r="O154" s="78" t="s">
        <v>41</v>
      </c>
      <c r="P154" s="78"/>
      <c r="Q154" s="78" t="str">
        <f>IFERROR(VLOOKUP($B154,[1]Sheet2!$A:$L,12,FALSE()),"")</f>
        <v/>
      </c>
      <c r="R154" s="85">
        <f t="shared" ca="1" si="4"/>
        <v>-482</v>
      </c>
      <c r="S154" s="86" t="str">
        <f t="shared" ca="1" si="5"/>
        <v>EXPIRED</v>
      </c>
    </row>
    <row r="155" spans="1:19" ht="15.75" customHeight="1">
      <c r="A155" s="75">
        <v>158</v>
      </c>
      <c r="B155" s="76" t="s">
        <v>1089</v>
      </c>
      <c r="C155" s="77" t="s">
        <v>1088</v>
      </c>
      <c r="D155" s="77"/>
      <c r="E155" s="78" t="s">
        <v>6</v>
      </c>
      <c r="F155" s="77" t="s">
        <v>53</v>
      </c>
      <c r="G155" s="79" t="s">
        <v>1087</v>
      </c>
      <c r="H155" s="78"/>
      <c r="I155" s="78"/>
      <c r="J155" s="78" t="s">
        <v>1086</v>
      </c>
      <c r="K155" s="88" t="s">
        <v>42</v>
      </c>
      <c r="L155" s="82" t="str">
        <f>IFERROR(VLOOKUP($B155,[1]Sheet2!$A:$L,11,FALSE()),"")</f>
        <v/>
      </c>
      <c r="M155" s="90">
        <v>44525</v>
      </c>
      <c r="N155" s="78" t="s">
        <v>133</v>
      </c>
      <c r="O155" s="78" t="s">
        <v>41</v>
      </c>
      <c r="P155" s="78"/>
      <c r="Q155" s="78" t="str">
        <f>IFERROR(VLOOKUP($B155,[1]Sheet2!$A:$L,12,FALSE()),"")</f>
        <v/>
      </c>
      <c r="R155" s="85">
        <f t="shared" ca="1" si="4"/>
        <v>-1722</v>
      </c>
      <c r="S155" s="86" t="str">
        <f t="shared" ca="1" si="5"/>
        <v>EXPIRED</v>
      </c>
    </row>
    <row r="156" spans="1:19" ht="15.75" customHeight="1">
      <c r="A156" s="75">
        <v>159</v>
      </c>
      <c r="B156" s="76" t="s">
        <v>1085</v>
      </c>
      <c r="C156" s="77" t="s">
        <v>1084</v>
      </c>
      <c r="D156" s="77" t="s">
        <v>1083</v>
      </c>
      <c r="E156" s="78" t="s">
        <v>6</v>
      </c>
      <c r="F156" s="77" t="s">
        <v>53</v>
      </c>
      <c r="G156" s="79" t="s">
        <v>78</v>
      </c>
      <c r="H156" s="78"/>
      <c r="I156" s="78"/>
      <c r="J156" s="78" t="s">
        <v>913</v>
      </c>
      <c r="K156" s="81" t="s">
        <v>2</v>
      </c>
      <c r="L156" s="82">
        <f>IFERROR(VLOOKUP($B156,[1]Sheet2!$A:$L,11,FALSE()),"")</f>
        <v>45996</v>
      </c>
      <c r="M156" s="83">
        <v>46386</v>
      </c>
      <c r="N156" s="84">
        <v>46386</v>
      </c>
      <c r="O156" s="78" t="s">
        <v>1</v>
      </c>
      <c r="P156" s="78"/>
      <c r="Q156" s="78" t="str">
        <f>IFERROR(VLOOKUP($B156,[1]Sheet2!$A:$L,12,FALSE()),"")</f>
        <v>Dubai</v>
      </c>
      <c r="R156" s="85">
        <f t="shared" ca="1" si="4"/>
        <v>139</v>
      </c>
      <c r="S156" s="86" t="str">
        <f t="shared" ca="1" si="5"/>
        <v>✓ OK</v>
      </c>
    </row>
    <row r="157" spans="1:19" ht="15.75" customHeight="1">
      <c r="A157" s="75">
        <v>160</v>
      </c>
      <c r="B157" s="76" t="s">
        <v>1082</v>
      </c>
      <c r="C157" s="77" t="s">
        <v>1081</v>
      </c>
      <c r="D157" s="77"/>
      <c r="E157" s="78" t="s">
        <v>6</v>
      </c>
      <c r="F157" s="77" t="s">
        <v>53</v>
      </c>
      <c r="G157" s="79" t="s">
        <v>788</v>
      </c>
      <c r="H157" s="78"/>
      <c r="I157" s="78"/>
      <c r="J157" s="78" t="s">
        <v>787</v>
      </c>
      <c r="K157" s="81" t="s">
        <v>42</v>
      </c>
      <c r="L157" s="82">
        <f>IFERROR(VLOOKUP($B157,[1]Sheet2!$A:$L,11,FALSE()),"")</f>
        <v>45987</v>
      </c>
      <c r="M157" s="83">
        <v>46386</v>
      </c>
      <c r="N157" s="84">
        <v>46386</v>
      </c>
      <c r="O157" s="78" t="s">
        <v>1</v>
      </c>
      <c r="P157" s="78"/>
      <c r="Q157" s="78" t="str">
        <f>IFERROR(VLOOKUP($B157,[1]Sheet2!$A:$L,12,FALSE()),"")</f>
        <v>Dubai</v>
      </c>
      <c r="R157" s="85">
        <f t="shared" ca="1" si="4"/>
        <v>139</v>
      </c>
      <c r="S157" s="86" t="str">
        <f t="shared" ca="1" si="5"/>
        <v>✓ OK</v>
      </c>
    </row>
    <row r="158" spans="1:19" ht="15.75" customHeight="1">
      <c r="A158" s="75">
        <v>161</v>
      </c>
      <c r="B158" s="76" t="s">
        <v>1080</v>
      </c>
      <c r="C158" s="77" t="s">
        <v>1079</v>
      </c>
      <c r="D158" s="77" t="s">
        <v>1070</v>
      </c>
      <c r="E158" s="78" t="s">
        <v>6</v>
      </c>
      <c r="F158" s="77" t="s">
        <v>53</v>
      </c>
      <c r="G158" s="79" t="s">
        <v>78</v>
      </c>
      <c r="H158" s="78"/>
      <c r="I158" s="78"/>
      <c r="J158" s="78" t="s">
        <v>787</v>
      </c>
      <c r="K158" s="88" t="s">
        <v>42</v>
      </c>
      <c r="L158" s="82" t="str">
        <f>IFERROR(VLOOKUP($B158,[1]Sheet2!$A:$L,11,FALSE()),"")</f>
        <v/>
      </c>
      <c r="M158" s="90">
        <v>45621</v>
      </c>
      <c r="N158" s="78" t="s">
        <v>133</v>
      </c>
      <c r="O158" s="78" t="s">
        <v>41</v>
      </c>
      <c r="P158" s="78"/>
      <c r="Q158" s="78" t="str">
        <f>IFERROR(VLOOKUP($B158,[1]Sheet2!$A:$L,12,FALSE()),"")</f>
        <v/>
      </c>
      <c r="R158" s="85">
        <f t="shared" ca="1" si="4"/>
        <v>-626</v>
      </c>
      <c r="S158" s="86" t="str">
        <f t="shared" ca="1" si="5"/>
        <v>EXPIRED</v>
      </c>
    </row>
    <row r="159" spans="1:19" ht="15.75" customHeight="1">
      <c r="A159" s="75">
        <v>162</v>
      </c>
      <c r="B159" s="76" t="s">
        <v>1078</v>
      </c>
      <c r="C159" s="77" t="s">
        <v>1077</v>
      </c>
      <c r="D159" s="77" t="s">
        <v>1070</v>
      </c>
      <c r="E159" s="78" t="s">
        <v>6</v>
      </c>
      <c r="F159" s="77" t="s">
        <v>53</v>
      </c>
      <c r="G159" s="79" t="s">
        <v>78</v>
      </c>
      <c r="H159" s="78"/>
      <c r="I159" s="78"/>
      <c r="J159" s="78" t="s">
        <v>787</v>
      </c>
      <c r="K159" s="88" t="s">
        <v>42</v>
      </c>
      <c r="L159" s="82" t="str">
        <f>IFERROR(VLOOKUP($B159,[1]Sheet2!$A:$L,11,FALSE()),"")</f>
        <v/>
      </c>
      <c r="M159" s="90">
        <v>45621</v>
      </c>
      <c r="N159" s="78" t="s">
        <v>133</v>
      </c>
      <c r="O159" s="78" t="s">
        <v>41</v>
      </c>
      <c r="P159" s="78"/>
      <c r="Q159" s="78" t="str">
        <f>IFERROR(VLOOKUP($B159,[1]Sheet2!$A:$L,12,FALSE()),"")</f>
        <v/>
      </c>
      <c r="R159" s="85">
        <f t="shared" ca="1" si="4"/>
        <v>-626</v>
      </c>
      <c r="S159" s="86" t="str">
        <f t="shared" ca="1" si="5"/>
        <v>EXPIRED</v>
      </c>
    </row>
    <row r="160" spans="1:19" ht="15.75" customHeight="1">
      <c r="A160" s="75">
        <v>163</v>
      </c>
      <c r="B160" s="76" t="s">
        <v>1076</v>
      </c>
      <c r="C160" s="77" t="s">
        <v>1075</v>
      </c>
      <c r="D160" s="77" t="s">
        <v>1070</v>
      </c>
      <c r="E160" s="78" t="s">
        <v>6</v>
      </c>
      <c r="F160" s="77" t="s">
        <v>53</v>
      </c>
      <c r="G160" s="79" t="s">
        <v>78</v>
      </c>
      <c r="H160" s="78"/>
      <c r="I160" s="78"/>
      <c r="J160" s="78" t="s">
        <v>787</v>
      </c>
      <c r="K160" s="88" t="s">
        <v>42</v>
      </c>
      <c r="L160" s="82" t="str">
        <f>IFERROR(VLOOKUP($B160,[1]Sheet2!$A:$L,11,FALSE()),"")</f>
        <v/>
      </c>
      <c r="M160" s="90">
        <v>45621</v>
      </c>
      <c r="N160" s="78" t="s">
        <v>133</v>
      </c>
      <c r="O160" s="78" t="s">
        <v>41</v>
      </c>
      <c r="P160" s="78"/>
      <c r="Q160" s="78" t="str">
        <f>IFERROR(VLOOKUP($B160,[1]Sheet2!$A:$L,12,FALSE()),"")</f>
        <v/>
      </c>
      <c r="R160" s="85">
        <f t="shared" ca="1" si="4"/>
        <v>-626</v>
      </c>
      <c r="S160" s="86" t="str">
        <f t="shared" ca="1" si="5"/>
        <v>EXPIRED</v>
      </c>
    </row>
    <row r="161" spans="1:19" ht="15.75" customHeight="1">
      <c r="A161" s="75">
        <v>164</v>
      </c>
      <c r="B161" s="76" t="s">
        <v>1074</v>
      </c>
      <c r="C161" s="77" t="s">
        <v>1073</v>
      </c>
      <c r="D161" s="77" t="s">
        <v>1070</v>
      </c>
      <c r="E161" s="78" t="s">
        <v>6</v>
      </c>
      <c r="F161" s="77" t="s">
        <v>53</v>
      </c>
      <c r="G161" s="79" t="s">
        <v>129</v>
      </c>
      <c r="H161" s="78"/>
      <c r="I161" s="78"/>
      <c r="J161" s="78" t="s">
        <v>787</v>
      </c>
      <c r="K161" s="88" t="s">
        <v>42</v>
      </c>
      <c r="L161" s="82" t="str">
        <f>IFERROR(VLOOKUP($B161,[1]Sheet2!$A:$L,11,FALSE()),"")</f>
        <v/>
      </c>
      <c r="M161" s="90">
        <v>45621</v>
      </c>
      <c r="N161" s="78" t="s">
        <v>133</v>
      </c>
      <c r="O161" s="78" t="s">
        <v>41</v>
      </c>
      <c r="P161" s="78"/>
      <c r="Q161" s="78" t="str">
        <f>IFERROR(VLOOKUP($B161,[1]Sheet2!$A:$L,12,FALSE()),"")</f>
        <v/>
      </c>
      <c r="R161" s="85">
        <f t="shared" ca="1" si="4"/>
        <v>-626</v>
      </c>
      <c r="S161" s="86" t="str">
        <f t="shared" ca="1" si="5"/>
        <v>EXPIRED</v>
      </c>
    </row>
    <row r="162" spans="1:19" ht="15.75" customHeight="1">
      <c r="A162" s="75">
        <v>165</v>
      </c>
      <c r="B162" s="76" t="s">
        <v>1072</v>
      </c>
      <c r="C162" s="77" t="s">
        <v>1071</v>
      </c>
      <c r="D162" s="77" t="s">
        <v>1070</v>
      </c>
      <c r="E162" s="78" t="s">
        <v>6</v>
      </c>
      <c r="F162" s="77" t="s">
        <v>53</v>
      </c>
      <c r="G162" s="79" t="s">
        <v>78</v>
      </c>
      <c r="H162" s="78"/>
      <c r="I162" s="78"/>
      <c r="J162" s="78" t="s">
        <v>787</v>
      </c>
      <c r="K162" s="88" t="s">
        <v>42</v>
      </c>
      <c r="L162" s="82" t="str">
        <f>IFERROR(VLOOKUP($B162,[1]Sheet2!$A:$L,11,FALSE()),"")</f>
        <v/>
      </c>
      <c r="M162" s="90">
        <v>45621</v>
      </c>
      <c r="N162" s="78" t="s">
        <v>133</v>
      </c>
      <c r="O162" s="78" t="s">
        <v>41</v>
      </c>
      <c r="P162" s="78"/>
      <c r="Q162" s="78" t="str">
        <f>IFERROR(VLOOKUP($B162,[1]Sheet2!$A:$L,12,FALSE()),"")</f>
        <v/>
      </c>
      <c r="R162" s="85">
        <f t="shared" ca="1" si="4"/>
        <v>-626</v>
      </c>
      <c r="S162" s="86" t="str">
        <f t="shared" ca="1" si="5"/>
        <v>EXPIRED</v>
      </c>
    </row>
    <row r="163" spans="1:19" ht="15.75" customHeight="1">
      <c r="A163" s="75">
        <v>166</v>
      </c>
      <c r="B163" s="76" t="s">
        <v>1069</v>
      </c>
      <c r="C163" s="77" t="s">
        <v>1068</v>
      </c>
      <c r="D163" s="77" t="s">
        <v>789</v>
      </c>
      <c r="E163" s="78" t="s">
        <v>6</v>
      </c>
      <c r="F163" s="77" t="s">
        <v>53</v>
      </c>
      <c r="G163" s="79" t="s">
        <v>78</v>
      </c>
      <c r="H163" s="78"/>
      <c r="I163" s="78"/>
      <c r="J163" s="78" t="s">
        <v>787</v>
      </c>
      <c r="K163" s="88" t="s">
        <v>42</v>
      </c>
      <c r="L163" s="82" t="str">
        <f>IFERROR(VLOOKUP($B163,[1]Sheet2!$A:$L,11,FALSE()),"")</f>
        <v/>
      </c>
      <c r="M163" s="83">
        <v>46161</v>
      </c>
      <c r="N163" s="78" t="s">
        <v>133</v>
      </c>
      <c r="O163" s="78" t="s">
        <v>41</v>
      </c>
      <c r="P163" s="78"/>
      <c r="Q163" s="78" t="str">
        <f>IFERROR(VLOOKUP($B163,[1]Sheet2!$A:$L,12,FALSE()),"")</f>
        <v/>
      </c>
      <c r="R163" s="85">
        <f t="shared" ca="1" si="4"/>
        <v>-86</v>
      </c>
      <c r="S163" s="86" t="str">
        <f t="shared" ca="1" si="5"/>
        <v>EXPIRED</v>
      </c>
    </row>
    <row r="164" spans="1:19" ht="15.75" customHeight="1">
      <c r="A164" s="75">
        <v>167</v>
      </c>
      <c r="B164" s="76" t="s">
        <v>1067</v>
      </c>
      <c r="C164" s="77" t="s">
        <v>1066</v>
      </c>
      <c r="D164" s="77" t="s">
        <v>789</v>
      </c>
      <c r="E164" s="78" t="s">
        <v>6</v>
      </c>
      <c r="F164" s="77" t="s">
        <v>53</v>
      </c>
      <c r="G164" s="79" t="s">
        <v>78</v>
      </c>
      <c r="H164" s="78"/>
      <c r="I164" s="78"/>
      <c r="J164" s="78" t="s">
        <v>787</v>
      </c>
      <c r="K164" s="88" t="s">
        <v>42</v>
      </c>
      <c r="L164" s="82" t="str">
        <f>IFERROR(VLOOKUP($B164,[1]Sheet2!$A:$L,11,FALSE()),"")</f>
        <v/>
      </c>
      <c r="M164" s="90">
        <v>46161</v>
      </c>
      <c r="N164" s="78" t="s">
        <v>133</v>
      </c>
      <c r="O164" s="78" t="s">
        <v>41</v>
      </c>
      <c r="P164" s="78"/>
      <c r="Q164" s="78" t="str">
        <f>IFERROR(VLOOKUP($B164,[1]Sheet2!$A:$L,12,FALSE()),"")</f>
        <v/>
      </c>
      <c r="R164" s="85">
        <f t="shared" ca="1" si="4"/>
        <v>-86</v>
      </c>
      <c r="S164" s="86" t="str">
        <f t="shared" ca="1" si="5"/>
        <v>EXPIRED</v>
      </c>
    </row>
    <row r="165" spans="1:19" ht="15.75" customHeight="1">
      <c r="A165" s="75">
        <v>168</v>
      </c>
      <c r="B165" s="76" t="s">
        <v>1065</v>
      </c>
      <c r="C165" s="77" t="s">
        <v>1064</v>
      </c>
      <c r="D165" s="77" t="s">
        <v>789</v>
      </c>
      <c r="E165" s="78" t="s">
        <v>6</v>
      </c>
      <c r="F165" s="77" t="s">
        <v>53</v>
      </c>
      <c r="G165" s="79" t="s">
        <v>78</v>
      </c>
      <c r="H165" s="78"/>
      <c r="I165" s="78"/>
      <c r="J165" s="78" t="s">
        <v>787</v>
      </c>
      <c r="K165" s="88" t="s">
        <v>42</v>
      </c>
      <c r="L165" s="82" t="str">
        <f>IFERROR(VLOOKUP($B165,[1]Sheet2!$A:$L,11,FALSE()),"")</f>
        <v/>
      </c>
      <c r="M165" s="83">
        <v>46161</v>
      </c>
      <c r="N165" s="78" t="s">
        <v>133</v>
      </c>
      <c r="O165" s="78" t="s">
        <v>41</v>
      </c>
      <c r="P165" s="78"/>
      <c r="Q165" s="78" t="str">
        <f>IFERROR(VLOOKUP($B165,[1]Sheet2!$A:$L,12,FALSE()),"")</f>
        <v/>
      </c>
      <c r="R165" s="85">
        <f t="shared" ca="1" si="4"/>
        <v>-86</v>
      </c>
      <c r="S165" s="86" t="str">
        <f t="shared" ca="1" si="5"/>
        <v>EXPIRED</v>
      </c>
    </row>
    <row r="166" spans="1:19" ht="15.75" customHeight="1">
      <c r="A166" s="75">
        <v>169</v>
      </c>
      <c r="B166" s="76" t="s">
        <v>1063</v>
      </c>
      <c r="C166" s="77" t="s">
        <v>1062</v>
      </c>
      <c r="D166" s="77" t="s">
        <v>789</v>
      </c>
      <c r="E166" s="78" t="s">
        <v>6</v>
      </c>
      <c r="F166" s="77" t="s">
        <v>53</v>
      </c>
      <c r="G166" s="79" t="s">
        <v>78</v>
      </c>
      <c r="H166" s="78"/>
      <c r="I166" s="78"/>
      <c r="J166" s="78" t="s">
        <v>787</v>
      </c>
      <c r="K166" s="88" t="s">
        <v>42</v>
      </c>
      <c r="L166" s="82" t="str">
        <f>IFERROR(VLOOKUP($B166,[1]Sheet2!$A:$L,11,FALSE()),"")</f>
        <v/>
      </c>
      <c r="M166" s="83">
        <v>46161</v>
      </c>
      <c r="N166" s="78" t="s">
        <v>133</v>
      </c>
      <c r="O166" s="78" t="s">
        <v>41</v>
      </c>
      <c r="P166" s="78"/>
      <c r="Q166" s="78" t="str">
        <f>IFERROR(VLOOKUP($B166,[1]Sheet2!$A:$L,12,FALSE()),"")</f>
        <v/>
      </c>
      <c r="R166" s="85">
        <f t="shared" ca="1" si="4"/>
        <v>-86</v>
      </c>
      <c r="S166" s="86" t="str">
        <f t="shared" ca="1" si="5"/>
        <v>EXPIRED</v>
      </c>
    </row>
    <row r="167" spans="1:19" ht="15.75" customHeight="1">
      <c r="A167" s="75">
        <v>170</v>
      </c>
      <c r="B167" s="76" t="s">
        <v>1061</v>
      </c>
      <c r="C167" s="77" t="s">
        <v>1060</v>
      </c>
      <c r="D167" s="77" t="s">
        <v>789</v>
      </c>
      <c r="E167" s="78" t="s">
        <v>6</v>
      </c>
      <c r="F167" s="77" t="s">
        <v>53</v>
      </c>
      <c r="G167" s="79" t="s">
        <v>78</v>
      </c>
      <c r="H167" s="78"/>
      <c r="I167" s="78"/>
      <c r="J167" s="78" t="s">
        <v>787</v>
      </c>
      <c r="K167" s="88" t="s">
        <v>42</v>
      </c>
      <c r="L167" s="82" t="str">
        <f>IFERROR(VLOOKUP($B167,[1]Sheet2!$A:$L,11,FALSE()),"")</f>
        <v/>
      </c>
      <c r="M167" s="90">
        <v>46161</v>
      </c>
      <c r="N167" s="78" t="s">
        <v>133</v>
      </c>
      <c r="O167" s="78" t="s">
        <v>41</v>
      </c>
      <c r="P167" s="78"/>
      <c r="Q167" s="78" t="str">
        <f>IFERROR(VLOOKUP($B167,[1]Sheet2!$A:$L,12,FALSE()),"")</f>
        <v/>
      </c>
      <c r="R167" s="85">
        <f t="shared" ca="1" si="4"/>
        <v>-86</v>
      </c>
      <c r="S167" s="86" t="str">
        <f t="shared" ca="1" si="5"/>
        <v>EXPIRED</v>
      </c>
    </row>
    <row r="168" spans="1:19" ht="15.75" customHeight="1">
      <c r="A168" s="75">
        <v>171</v>
      </c>
      <c r="B168" s="76" t="s">
        <v>1059</v>
      </c>
      <c r="C168" s="77" t="s">
        <v>1058</v>
      </c>
      <c r="D168" s="77" t="s">
        <v>1057</v>
      </c>
      <c r="E168" s="78" t="s">
        <v>6</v>
      </c>
      <c r="F168" s="77" t="s">
        <v>53</v>
      </c>
      <c r="G168" s="79" t="s">
        <v>78</v>
      </c>
      <c r="H168" s="78"/>
      <c r="I168" s="78"/>
      <c r="J168" s="78" t="s">
        <v>796</v>
      </c>
      <c r="K168" s="81" t="s">
        <v>2</v>
      </c>
      <c r="L168" s="82">
        <f>IFERROR(VLOOKUP($B168,[1]Sheet2!$A:$L,11,FALSE()),"")</f>
        <v>45996</v>
      </c>
      <c r="M168" s="83">
        <v>46386</v>
      </c>
      <c r="N168" s="84">
        <v>46386</v>
      </c>
      <c r="O168" s="78" t="s">
        <v>1</v>
      </c>
      <c r="P168" s="78"/>
      <c r="Q168" s="78" t="str">
        <f>IFERROR(VLOOKUP($B168,[1]Sheet2!$A:$L,12,FALSE()),"")</f>
        <v>Dubai</v>
      </c>
      <c r="R168" s="85">
        <f t="shared" ca="1" si="4"/>
        <v>139</v>
      </c>
      <c r="S168" s="86" t="str">
        <f t="shared" ca="1" si="5"/>
        <v>✓ OK</v>
      </c>
    </row>
    <row r="169" spans="1:19" ht="15.75" customHeight="1">
      <c r="A169" s="75">
        <v>172</v>
      </c>
      <c r="B169" s="76" t="s">
        <v>1056</v>
      </c>
      <c r="C169" s="77" t="s">
        <v>1055</v>
      </c>
      <c r="D169" s="77" t="s">
        <v>496</v>
      </c>
      <c r="E169" s="78" t="s">
        <v>6</v>
      </c>
      <c r="F169" s="77" t="s">
        <v>53</v>
      </c>
      <c r="G169" s="79" t="s">
        <v>78</v>
      </c>
      <c r="H169" s="78"/>
      <c r="I169" s="78"/>
      <c r="J169" s="78" t="s">
        <v>796</v>
      </c>
      <c r="K169" s="81" t="s">
        <v>2</v>
      </c>
      <c r="L169" s="82">
        <f>IFERROR(VLOOKUP($B169,[1]Sheet2!$A:$L,11,FALSE()),"")</f>
        <v>45996</v>
      </c>
      <c r="M169" s="83">
        <v>46386</v>
      </c>
      <c r="N169" s="84">
        <v>46386</v>
      </c>
      <c r="O169" s="78" t="s">
        <v>1</v>
      </c>
      <c r="P169" s="78"/>
      <c r="Q169" s="78" t="str">
        <f>IFERROR(VLOOKUP($B169,[1]Sheet2!$A:$L,12,FALSE()),"")</f>
        <v>Dubai</v>
      </c>
      <c r="R169" s="85">
        <f t="shared" ca="1" si="4"/>
        <v>139</v>
      </c>
      <c r="S169" s="86" t="str">
        <f t="shared" ca="1" si="5"/>
        <v>✓ OK</v>
      </c>
    </row>
    <row r="170" spans="1:19" ht="15.75" customHeight="1">
      <c r="A170" s="75">
        <v>173</v>
      </c>
      <c r="B170" s="76" t="s">
        <v>1054</v>
      </c>
      <c r="C170" s="77" t="s">
        <v>1053</v>
      </c>
      <c r="D170" s="77" t="s">
        <v>496</v>
      </c>
      <c r="E170" s="78" t="s">
        <v>6</v>
      </c>
      <c r="F170" s="77" t="s">
        <v>53</v>
      </c>
      <c r="G170" s="79" t="s">
        <v>78</v>
      </c>
      <c r="H170" s="78"/>
      <c r="I170" s="78"/>
      <c r="J170" s="78" t="s">
        <v>796</v>
      </c>
      <c r="K170" s="81" t="s">
        <v>2</v>
      </c>
      <c r="L170" s="82">
        <f>IFERROR(VLOOKUP($B170,[1]Sheet2!$A:$L,11,FALSE()),"")</f>
        <v>45996</v>
      </c>
      <c r="M170" s="83">
        <v>46386</v>
      </c>
      <c r="N170" s="84">
        <v>46386</v>
      </c>
      <c r="O170" s="78" t="s">
        <v>1</v>
      </c>
      <c r="P170" s="78"/>
      <c r="Q170" s="78" t="str">
        <f>IFERROR(VLOOKUP($B170,[1]Sheet2!$A:$L,12,FALSE()),"")</f>
        <v>Dubai</v>
      </c>
      <c r="R170" s="85">
        <f t="shared" ca="1" si="4"/>
        <v>139</v>
      </c>
      <c r="S170" s="86" t="str">
        <f t="shared" ca="1" si="5"/>
        <v>✓ OK</v>
      </c>
    </row>
    <row r="171" spans="1:19" ht="15.75" customHeight="1">
      <c r="A171" s="75">
        <v>174</v>
      </c>
      <c r="B171" s="76" t="s">
        <v>1052</v>
      </c>
      <c r="C171" s="77" t="s">
        <v>1051</v>
      </c>
      <c r="D171" s="77" t="s">
        <v>496</v>
      </c>
      <c r="E171" s="78" t="s">
        <v>6</v>
      </c>
      <c r="F171" s="77" t="s">
        <v>53</v>
      </c>
      <c r="G171" s="79" t="s">
        <v>78</v>
      </c>
      <c r="H171" s="78"/>
      <c r="I171" s="78"/>
      <c r="J171" s="78" t="s">
        <v>796</v>
      </c>
      <c r="K171" s="81" t="s">
        <v>2</v>
      </c>
      <c r="L171" s="82">
        <f>IFERROR(VLOOKUP($B171,[1]Sheet2!$A:$L,11,FALSE()),"")</f>
        <v>45996</v>
      </c>
      <c r="M171" s="83">
        <v>46386</v>
      </c>
      <c r="N171" s="84">
        <v>46386</v>
      </c>
      <c r="O171" s="78" t="s">
        <v>1</v>
      </c>
      <c r="P171" s="78"/>
      <c r="Q171" s="78" t="str">
        <f>IFERROR(VLOOKUP($B171,[1]Sheet2!$A:$L,12,FALSE()),"")</f>
        <v>Dubai</v>
      </c>
      <c r="R171" s="85">
        <f t="shared" ca="1" si="4"/>
        <v>139</v>
      </c>
      <c r="S171" s="86" t="str">
        <f t="shared" ca="1" si="5"/>
        <v>✓ OK</v>
      </c>
    </row>
    <row r="172" spans="1:19" ht="15.75" customHeight="1">
      <c r="A172" s="75">
        <v>175</v>
      </c>
      <c r="B172" s="76" t="s">
        <v>1050</v>
      </c>
      <c r="C172" s="77" t="s">
        <v>1049</v>
      </c>
      <c r="D172" s="77" t="s">
        <v>1027</v>
      </c>
      <c r="E172" s="78" t="s">
        <v>6</v>
      </c>
      <c r="F172" s="77" t="s">
        <v>53</v>
      </c>
      <c r="G172" s="79" t="s">
        <v>788</v>
      </c>
      <c r="H172" s="78"/>
      <c r="I172" s="78"/>
      <c r="J172" s="78" t="s">
        <v>1030</v>
      </c>
      <c r="K172" s="81" t="s">
        <v>2</v>
      </c>
      <c r="L172" s="82">
        <f>IFERROR(VLOOKUP($B172,[1]Sheet2!$A:$L,11,FALSE()),"")</f>
        <v>45998</v>
      </c>
      <c r="M172" s="83">
        <v>46386</v>
      </c>
      <c r="N172" s="84">
        <v>46386</v>
      </c>
      <c r="O172" s="78" t="s">
        <v>1</v>
      </c>
      <c r="P172" s="78"/>
      <c r="Q172" s="78" t="str">
        <f>IFERROR(VLOOKUP($B172,[1]Sheet2!$A:$L,12,FALSE()),"")</f>
        <v>Dubai</v>
      </c>
      <c r="R172" s="85">
        <f t="shared" ca="1" si="4"/>
        <v>139</v>
      </c>
      <c r="S172" s="86" t="str">
        <f t="shared" ca="1" si="5"/>
        <v>✓ OK</v>
      </c>
    </row>
    <row r="173" spans="1:19" ht="15.75" customHeight="1">
      <c r="A173" s="75">
        <v>176</v>
      </c>
      <c r="B173" s="76" t="s">
        <v>1048</v>
      </c>
      <c r="C173" s="77" t="s">
        <v>1047</v>
      </c>
      <c r="D173" s="77" t="s">
        <v>1027</v>
      </c>
      <c r="E173" s="78" t="s">
        <v>6</v>
      </c>
      <c r="F173" s="77" t="s">
        <v>53</v>
      </c>
      <c r="G173" s="79" t="s">
        <v>788</v>
      </c>
      <c r="H173" s="78"/>
      <c r="I173" s="78"/>
      <c r="J173" s="78" t="s">
        <v>1030</v>
      </c>
      <c r="K173" s="81" t="s">
        <v>2</v>
      </c>
      <c r="L173" s="82">
        <f>IFERROR(VLOOKUP($B173,[1]Sheet2!$A:$L,11,FALSE()),"")</f>
        <v>45998</v>
      </c>
      <c r="M173" s="83">
        <v>46386</v>
      </c>
      <c r="N173" s="84">
        <v>46386</v>
      </c>
      <c r="O173" s="78" t="s">
        <v>1</v>
      </c>
      <c r="P173" s="78"/>
      <c r="Q173" s="78" t="str">
        <f>IFERROR(VLOOKUP($B173,[1]Sheet2!$A:$L,12,FALSE()),"")</f>
        <v>Dubai</v>
      </c>
      <c r="R173" s="85">
        <f t="shared" ca="1" si="4"/>
        <v>139</v>
      </c>
      <c r="S173" s="86" t="str">
        <f t="shared" ca="1" si="5"/>
        <v>✓ OK</v>
      </c>
    </row>
    <row r="174" spans="1:19" ht="15.75" customHeight="1">
      <c r="A174" s="75">
        <v>177</v>
      </c>
      <c r="B174" s="76" t="s">
        <v>1046</v>
      </c>
      <c r="C174" s="77" t="s">
        <v>1045</v>
      </c>
      <c r="D174" s="77" t="s">
        <v>1027</v>
      </c>
      <c r="E174" s="78" t="s">
        <v>6</v>
      </c>
      <c r="F174" s="77" t="s">
        <v>53</v>
      </c>
      <c r="G174" s="79" t="s">
        <v>788</v>
      </c>
      <c r="H174" s="78"/>
      <c r="I174" s="78"/>
      <c r="J174" s="78" t="s">
        <v>796</v>
      </c>
      <c r="K174" s="88" t="s">
        <v>42</v>
      </c>
      <c r="L174" s="82" t="str">
        <f>IFERROR(VLOOKUP($B174,[1]Sheet2!$A:$L,11,FALSE()),"")</f>
        <v/>
      </c>
      <c r="M174" s="90">
        <v>46021</v>
      </c>
      <c r="N174" s="78" t="s">
        <v>133</v>
      </c>
      <c r="O174" s="78" t="s">
        <v>41</v>
      </c>
      <c r="P174" s="78"/>
      <c r="Q174" s="78" t="str">
        <f>IFERROR(VLOOKUP($B174,[1]Sheet2!$A:$L,12,FALSE()),"")</f>
        <v/>
      </c>
      <c r="R174" s="85">
        <f t="shared" ca="1" si="4"/>
        <v>-226</v>
      </c>
      <c r="S174" s="86" t="str">
        <f t="shared" ca="1" si="5"/>
        <v>EXPIRED</v>
      </c>
    </row>
    <row r="175" spans="1:19" ht="15.75" customHeight="1">
      <c r="A175" s="75">
        <v>178</v>
      </c>
      <c r="B175" s="76" t="s">
        <v>1044</v>
      </c>
      <c r="C175" s="77" t="s">
        <v>1043</v>
      </c>
      <c r="D175" s="77" t="s">
        <v>1027</v>
      </c>
      <c r="E175" s="78" t="s">
        <v>6</v>
      </c>
      <c r="F175" s="77" t="s">
        <v>53</v>
      </c>
      <c r="G175" s="79" t="s">
        <v>788</v>
      </c>
      <c r="H175" s="78"/>
      <c r="I175" s="78"/>
      <c r="J175" s="78" t="s">
        <v>1042</v>
      </c>
      <c r="K175" s="81" t="s">
        <v>2</v>
      </c>
      <c r="L175" s="82">
        <f>IFERROR(VLOOKUP($B175,[1]Sheet2!$A:$L,11,FALSE()),"")</f>
        <v>45998</v>
      </c>
      <c r="M175" s="83">
        <v>46386</v>
      </c>
      <c r="N175" s="84">
        <v>46386</v>
      </c>
      <c r="O175" s="78" t="s">
        <v>1</v>
      </c>
      <c r="P175" s="78"/>
      <c r="Q175" s="78" t="str">
        <f>IFERROR(VLOOKUP($B175,[1]Sheet2!$A:$L,12,FALSE()),"")</f>
        <v>Dubai</v>
      </c>
      <c r="R175" s="85">
        <f t="shared" ca="1" si="4"/>
        <v>139</v>
      </c>
      <c r="S175" s="86" t="str">
        <f t="shared" ca="1" si="5"/>
        <v>✓ OK</v>
      </c>
    </row>
    <row r="176" spans="1:19" ht="15.75" customHeight="1">
      <c r="A176" s="75">
        <v>179</v>
      </c>
      <c r="B176" s="76" t="s">
        <v>1041</v>
      </c>
      <c r="C176" s="77" t="s">
        <v>1040</v>
      </c>
      <c r="D176" s="77" t="s">
        <v>1027</v>
      </c>
      <c r="E176" s="78" t="s">
        <v>6</v>
      </c>
      <c r="F176" s="77" t="s">
        <v>53</v>
      </c>
      <c r="G176" s="79" t="s">
        <v>788</v>
      </c>
      <c r="H176" s="78"/>
      <c r="I176" s="78"/>
      <c r="J176" s="78" t="s">
        <v>796</v>
      </c>
      <c r="K176" s="81" t="s">
        <v>2</v>
      </c>
      <c r="L176" s="82">
        <f>IFERROR(VLOOKUP($B176,[1]Sheet2!$A:$L,11,FALSE()),"")</f>
        <v>45998</v>
      </c>
      <c r="M176" s="83">
        <v>46386</v>
      </c>
      <c r="N176" s="84">
        <v>46386</v>
      </c>
      <c r="O176" s="78" t="s">
        <v>1</v>
      </c>
      <c r="P176" s="78"/>
      <c r="Q176" s="78" t="str">
        <f>IFERROR(VLOOKUP($B176,[1]Sheet2!$A:$L,12,FALSE()),"")</f>
        <v>Dubai</v>
      </c>
      <c r="R176" s="85">
        <f t="shared" ca="1" si="4"/>
        <v>139</v>
      </c>
      <c r="S176" s="86" t="str">
        <f t="shared" ca="1" si="5"/>
        <v>✓ OK</v>
      </c>
    </row>
    <row r="177" spans="1:19" ht="15.75" customHeight="1">
      <c r="A177" s="75">
        <v>180</v>
      </c>
      <c r="B177" s="76" t="s">
        <v>1039</v>
      </c>
      <c r="C177" s="77" t="s">
        <v>1038</v>
      </c>
      <c r="D177" s="77" t="s">
        <v>1027</v>
      </c>
      <c r="E177" s="78" t="s">
        <v>6</v>
      </c>
      <c r="F177" s="77" t="s">
        <v>53</v>
      </c>
      <c r="G177" s="79" t="s">
        <v>788</v>
      </c>
      <c r="H177" s="78"/>
      <c r="I177" s="78"/>
      <c r="J177" s="78" t="s">
        <v>796</v>
      </c>
      <c r="K177" s="81" t="s">
        <v>2</v>
      </c>
      <c r="L177" s="82">
        <f>IFERROR(VLOOKUP($B177,[1]Sheet2!$A:$L,11,FALSE()),"")</f>
        <v>45998</v>
      </c>
      <c r="M177" s="83">
        <v>46386</v>
      </c>
      <c r="N177" s="84">
        <v>46386</v>
      </c>
      <c r="O177" s="78" t="s">
        <v>1</v>
      </c>
      <c r="P177" s="78"/>
      <c r="Q177" s="78" t="str">
        <f>IFERROR(VLOOKUP($B177,[1]Sheet2!$A:$L,12,FALSE()),"")</f>
        <v>Dubai</v>
      </c>
      <c r="R177" s="85">
        <f t="shared" ca="1" si="4"/>
        <v>139</v>
      </c>
      <c r="S177" s="86" t="str">
        <f t="shared" ca="1" si="5"/>
        <v>✓ OK</v>
      </c>
    </row>
    <row r="178" spans="1:19" ht="15.75" customHeight="1">
      <c r="A178" s="75">
        <v>181</v>
      </c>
      <c r="B178" s="76" t="s">
        <v>1037</v>
      </c>
      <c r="C178" s="77" t="s">
        <v>1036</v>
      </c>
      <c r="D178" s="77" t="s">
        <v>1027</v>
      </c>
      <c r="E178" s="78" t="s">
        <v>6</v>
      </c>
      <c r="F178" s="77" t="s">
        <v>53</v>
      </c>
      <c r="G178" s="79" t="s">
        <v>788</v>
      </c>
      <c r="H178" s="78"/>
      <c r="I178" s="78"/>
      <c r="J178" s="78" t="s">
        <v>796</v>
      </c>
      <c r="K178" s="88" t="s">
        <v>42</v>
      </c>
      <c r="L178" s="82" t="str">
        <f>IFERROR(VLOOKUP($B178,[1]Sheet2!$A:$L,11,FALSE()),"")</f>
        <v/>
      </c>
      <c r="M178" s="90">
        <v>45621</v>
      </c>
      <c r="N178" s="78" t="s">
        <v>133</v>
      </c>
      <c r="O178" s="78" t="s">
        <v>41</v>
      </c>
      <c r="P178" s="78"/>
      <c r="Q178" s="78" t="str">
        <f>IFERROR(VLOOKUP($B178,[1]Sheet2!$A:$L,12,FALSE()),"")</f>
        <v/>
      </c>
      <c r="R178" s="85">
        <f t="shared" ca="1" si="4"/>
        <v>-626</v>
      </c>
      <c r="S178" s="86" t="str">
        <f t="shared" ca="1" si="5"/>
        <v>EXPIRED</v>
      </c>
    </row>
    <row r="179" spans="1:19" ht="15.75" customHeight="1">
      <c r="A179" s="75">
        <v>182</v>
      </c>
      <c r="B179" s="76" t="s">
        <v>1035</v>
      </c>
      <c r="C179" s="77" t="s">
        <v>1034</v>
      </c>
      <c r="D179" s="77" t="s">
        <v>1027</v>
      </c>
      <c r="E179" s="78" t="s">
        <v>6</v>
      </c>
      <c r="F179" s="77" t="s">
        <v>53</v>
      </c>
      <c r="G179" s="79" t="s">
        <v>78</v>
      </c>
      <c r="H179" s="78"/>
      <c r="I179" s="78"/>
      <c r="J179" s="78" t="s">
        <v>1033</v>
      </c>
      <c r="K179" s="88" t="s">
        <v>42</v>
      </c>
      <c r="L179" s="82" t="str">
        <f>IFERROR(VLOOKUP($B179,[1]Sheet2!$A:$L,11,FALSE()),"")</f>
        <v/>
      </c>
      <c r="M179" s="90">
        <v>45621</v>
      </c>
      <c r="N179" s="78" t="s">
        <v>133</v>
      </c>
      <c r="O179" s="78" t="s">
        <v>41</v>
      </c>
      <c r="P179" s="78"/>
      <c r="Q179" s="78" t="str">
        <f>IFERROR(VLOOKUP($B179,[1]Sheet2!$A:$L,12,FALSE()),"")</f>
        <v/>
      </c>
      <c r="R179" s="85">
        <f t="shared" ca="1" si="4"/>
        <v>-626</v>
      </c>
      <c r="S179" s="86" t="str">
        <f t="shared" ca="1" si="5"/>
        <v>EXPIRED</v>
      </c>
    </row>
    <row r="180" spans="1:19" ht="15.75" customHeight="1">
      <c r="A180" s="75">
        <v>183</v>
      </c>
      <c r="B180" s="76" t="s">
        <v>1032</v>
      </c>
      <c r="C180" s="77" t="s">
        <v>1031</v>
      </c>
      <c r="D180" s="77" t="s">
        <v>1027</v>
      </c>
      <c r="E180" s="78" t="s">
        <v>6</v>
      </c>
      <c r="F180" s="77" t="s">
        <v>53</v>
      </c>
      <c r="G180" s="79" t="s">
        <v>78</v>
      </c>
      <c r="H180" s="78"/>
      <c r="I180" s="78"/>
      <c r="J180" s="78" t="s">
        <v>1030</v>
      </c>
      <c r="K180" s="81" t="s">
        <v>2</v>
      </c>
      <c r="L180" s="82">
        <f>IFERROR(VLOOKUP($B180,[1]Sheet2!$A:$L,11,FALSE()),"")</f>
        <v>46029</v>
      </c>
      <c r="M180" s="83">
        <v>46386</v>
      </c>
      <c r="N180" s="84">
        <v>46386</v>
      </c>
      <c r="O180" s="78" t="s">
        <v>1</v>
      </c>
      <c r="P180" s="78"/>
      <c r="Q180" s="78" t="str">
        <f>IFERROR(VLOOKUP($B180,[1]Sheet2!$A:$L,12,FALSE()),"")</f>
        <v>Dubai</v>
      </c>
      <c r="R180" s="85">
        <f t="shared" ca="1" si="4"/>
        <v>139</v>
      </c>
      <c r="S180" s="86" t="str">
        <f t="shared" ca="1" si="5"/>
        <v>✓ OK</v>
      </c>
    </row>
    <row r="181" spans="1:19" ht="15.75" customHeight="1">
      <c r="A181" s="75">
        <v>184</v>
      </c>
      <c r="B181" s="76" t="s">
        <v>1029</v>
      </c>
      <c r="C181" s="77" t="s">
        <v>1028</v>
      </c>
      <c r="D181" s="77" t="s">
        <v>1027</v>
      </c>
      <c r="E181" s="78" t="s">
        <v>6</v>
      </c>
      <c r="F181" s="77" t="s">
        <v>53</v>
      </c>
      <c r="G181" s="79" t="s">
        <v>135</v>
      </c>
      <c r="H181" s="78"/>
      <c r="I181" s="78"/>
      <c r="J181" s="78" t="s">
        <v>1026</v>
      </c>
      <c r="K181" s="81" t="s">
        <v>42</v>
      </c>
      <c r="L181" s="82" t="s">
        <v>1025</v>
      </c>
      <c r="M181" s="83">
        <v>46160</v>
      </c>
      <c r="N181" s="78"/>
      <c r="O181" s="78" t="s">
        <v>41</v>
      </c>
      <c r="P181" s="78"/>
      <c r="Q181" s="78" t="s">
        <v>57</v>
      </c>
      <c r="R181" s="85">
        <f t="shared" ca="1" si="4"/>
        <v>-87</v>
      </c>
      <c r="S181" s="86" t="str">
        <f t="shared" ca="1" si="5"/>
        <v>EXPIRED</v>
      </c>
    </row>
    <row r="182" spans="1:19" ht="15.75" customHeight="1">
      <c r="A182" s="75">
        <v>185</v>
      </c>
      <c r="B182" s="76" t="s">
        <v>1024</v>
      </c>
      <c r="C182" s="77" t="s">
        <v>1023</v>
      </c>
      <c r="D182" s="77" t="s">
        <v>1016</v>
      </c>
      <c r="E182" s="78" t="s">
        <v>6</v>
      </c>
      <c r="F182" s="77" t="s">
        <v>53</v>
      </c>
      <c r="G182" s="79" t="s">
        <v>78</v>
      </c>
      <c r="H182" s="78"/>
      <c r="I182" s="78"/>
      <c r="J182" s="78" t="s">
        <v>796</v>
      </c>
      <c r="K182" s="88" t="s">
        <v>42</v>
      </c>
      <c r="L182" s="82">
        <f>IFERROR(VLOOKUP($B182,[1]Sheet2!$A:$L,11,FALSE()),"")</f>
        <v>44924</v>
      </c>
      <c r="M182" s="90">
        <v>46021</v>
      </c>
      <c r="N182" s="78" t="s">
        <v>133</v>
      </c>
      <c r="O182" s="78" t="s">
        <v>41</v>
      </c>
      <c r="P182" s="78"/>
      <c r="Q182" s="78" t="str">
        <f>IFERROR(VLOOKUP($B182,[1]Sheet2!$A:$L,12,FALSE()),"")</f>
        <v>Dubai</v>
      </c>
      <c r="R182" s="85">
        <f t="shared" ca="1" si="4"/>
        <v>-226</v>
      </c>
      <c r="S182" s="86" t="str">
        <f t="shared" ca="1" si="5"/>
        <v>EXPIRED</v>
      </c>
    </row>
    <row r="183" spans="1:19" ht="15.75" customHeight="1">
      <c r="A183" s="75">
        <v>186</v>
      </c>
      <c r="B183" s="76" t="s">
        <v>1022</v>
      </c>
      <c r="C183" s="77" t="s">
        <v>1021</v>
      </c>
      <c r="D183" s="77" t="s">
        <v>1016</v>
      </c>
      <c r="E183" s="78" t="s">
        <v>6</v>
      </c>
      <c r="F183" s="77" t="s">
        <v>53</v>
      </c>
      <c r="G183" s="79" t="s">
        <v>78</v>
      </c>
      <c r="H183" s="78"/>
      <c r="I183" s="78"/>
      <c r="J183" s="78" t="s">
        <v>796</v>
      </c>
      <c r="K183" s="88" t="s">
        <v>42</v>
      </c>
      <c r="L183" s="82" t="str">
        <f>IFERROR(VLOOKUP($B183,[1]Sheet2!$A:$L,11,FALSE()),"")</f>
        <v/>
      </c>
      <c r="M183" s="90">
        <v>46021</v>
      </c>
      <c r="N183" s="78" t="s">
        <v>133</v>
      </c>
      <c r="O183" s="78" t="s">
        <v>41</v>
      </c>
      <c r="P183" s="78"/>
      <c r="Q183" s="78" t="str">
        <f>IFERROR(VLOOKUP($B183,[1]Sheet2!$A:$L,12,FALSE()),"")</f>
        <v/>
      </c>
      <c r="R183" s="85">
        <f t="shared" ca="1" si="4"/>
        <v>-226</v>
      </c>
      <c r="S183" s="86" t="str">
        <f t="shared" ca="1" si="5"/>
        <v>EXPIRED</v>
      </c>
    </row>
    <row r="184" spans="1:19" ht="15.75" customHeight="1">
      <c r="A184" s="75">
        <v>187</v>
      </c>
      <c r="B184" s="76" t="s">
        <v>1020</v>
      </c>
      <c r="C184" s="77" t="s">
        <v>1019</v>
      </c>
      <c r="D184" s="77" t="s">
        <v>1016</v>
      </c>
      <c r="E184" s="78" t="s">
        <v>6</v>
      </c>
      <c r="F184" s="77" t="s">
        <v>53</v>
      </c>
      <c r="G184" s="79" t="s">
        <v>78</v>
      </c>
      <c r="H184" s="78"/>
      <c r="I184" s="78"/>
      <c r="J184" s="78" t="s">
        <v>796</v>
      </c>
      <c r="K184" s="88" t="s">
        <v>42</v>
      </c>
      <c r="L184" s="82" t="str">
        <f>IFERROR(VLOOKUP($B184,[1]Sheet2!$A:$L,11,FALSE()),"")</f>
        <v/>
      </c>
      <c r="M184" s="90">
        <v>46021</v>
      </c>
      <c r="N184" s="78" t="s">
        <v>133</v>
      </c>
      <c r="O184" s="78" t="s">
        <v>41</v>
      </c>
      <c r="P184" s="78"/>
      <c r="Q184" s="78" t="str">
        <f>IFERROR(VLOOKUP($B184,[1]Sheet2!$A:$L,12,FALSE()),"")</f>
        <v/>
      </c>
      <c r="R184" s="85">
        <f t="shared" ca="1" si="4"/>
        <v>-226</v>
      </c>
      <c r="S184" s="86" t="str">
        <f t="shared" ca="1" si="5"/>
        <v>EXPIRED</v>
      </c>
    </row>
    <row r="185" spans="1:19" ht="15.75" customHeight="1">
      <c r="A185" s="75">
        <v>188</v>
      </c>
      <c r="B185" s="76" t="s">
        <v>1018</v>
      </c>
      <c r="C185" s="77" t="s">
        <v>1017</v>
      </c>
      <c r="D185" s="77" t="s">
        <v>1016</v>
      </c>
      <c r="E185" s="78" t="s">
        <v>6</v>
      </c>
      <c r="F185" s="77" t="s">
        <v>53</v>
      </c>
      <c r="G185" s="79" t="s">
        <v>78</v>
      </c>
      <c r="H185" s="78"/>
      <c r="I185" s="78"/>
      <c r="J185" s="78" t="s">
        <v>796</v>
      </c>
      <c r="K185" s="88" t="s">
        <v>42</v>
      </c>
      <c r="L185" s="82" t="str">
        <f>IFERROR(VLOOKUP($B185,[1]Sheet2!$A:$L,11,FALSE()),"")</f>
        <v/>
      </c>
      <c r="M185" s="90">
        <v>46021</v>
      </c>
      <c r="N185" s="78" t="s">
        <v>133</v>
      </c>
      <c r="O185" s="78" t="s">
        <v>41</v>
      </c>
      <c r="P185" s="78"/>
      <c r="Q185" s="78" t="str">
        <f>IFERROR(VLOOKUP($B185,[1]Sheet2!$A:$L,12,FALSE()),"")</f>
        <v/>
      </c>
      <c r="R185" s="85">
        <f t="shared" ca="1" si="4"/>
        <v>-226</v>
      </c>
      <c r="S185" s="86" t="str">
        <f t="shared" ca="1" si="5"/>
        <v>EXPIRED</v>
      </c>
    </row>
    <row r="186" spans="1:19" ht="15.75" customHeight="1">
      <c r="A186" s="75">
        <v>189</v>
      </c>
      <c r="B186" s="76" t="s">
        <v>1015</v>
      </c>
      <c r="C186" s="77" t="s">
        <v>1014</v>
      </c>
      <c r="D186" s="77" t="s">
        <v>492</v>
      </c>
      <c r="E186" s="78" t="s">
        <v>6</v>
      </c>
      <c r="F186" s="77" t="s">
        <v>53</v>
      </c>
      <c r="G186" s="79" t="s">
        <v>788</v>
      </c>
      <c r="H186" s="78"/>
      <c r="I186" s="78"/>
      <c r="J186" s="78" t="s">
        <v>796</v>
      </c>
      <c r="K186" s="81" t="s">
        <v>2</v>
      </c>
      <c r="L186" s="82" t="str">
        <f>IFERROR(VLOOKUP($B186,[1]Sheet2!$A:$L,11,FALSE()),"")</f>
        <v/>
      </c>
      <c r="M186" s="83">
        <v>46386</v>
      </c>
      <c r="N186" s="84">
        <v>46386</v>
      </c>
      <c r="O186" s="78" t="s">
        <v>1</v>
      </c>
      <c r="P186" s="78"/>
      <c r="Q186" s="78" t="s">
        <v>57</v>
      </c>
      <c r="R186" s="85">
        <f t="shared" ca="1" si="4"/>
        <v>139</v>
      </c>
      <c r="S186" s="86" t="str">
        <f t="shared" ca="1" si="5"/>
        <v>✓ OK</v>
      </c>
    </row>
    <row r="187" spans="1:19" ht="15.75" customHeight="1">
      <c r="A187" s="75">
        <v>190</v>
      </c>
      <c r="B187" s="76" t="s">
        <v>1013</v>
      </c>
      <c r="C187" s="77" t="s">
        <v>1012</v>
      </c>
      <c r="D187" s="77" t="s">
        <v>492</v>
      </c>
      <c r="E187" s="78" t="s">
        <v>6</v>
      </c>
      <c r="F187" s="77" t="s">
        <v>53</v>
      </c>
      <c r="G187" s="79" t="s">
        <v>788</v>
      </c>
      <c r="H187" s="78"/>
      <c r="I187" s="78"/>
      <c r="J187" s="78" t="s">
        <v>796</v>
      </c>
      <c r="K187" s="88" t="s">
        <v>42</v>
      </c>
      <c r="L187" s="82" t="str">
        <f>IFERROR(VLOOKUP($B187,[1]Sheet2!$A:$L,11,FALSE()),"")</f>
        <v/>
      </c>
      <c r="M187" s="90">
        <v>46021</v>
      </c>
      <c r="N187" s="78" t="s">
        <v>133</v>
      </c>
      <c r="O187" s="78" t="s">
        <v>41</v>
      </c>
      <c r="P187" s="78"/>
      <c r="Q187" s="78" t="str">
        <f>IFERROR(VLOOKUP($B187,[1]Sheet2!$A:$L,12,FALSE()),"")</f>
        <v/>
      </c>
      <c r="R187" s="85">
        <f t="shared" ca="1" si="4"/>
        <v>-226</v>
      </c>
      <c r="S187" s="86" t="str">
        <f t="shared" ca="1" si="5"/>
        <v>EXPIRED</v>
      </c>
    </row>
    <row r="188" spans="1:19" ht="15.75" customHeight="1">
      <c r="A188" s="75">
        <v>191</v>
      </c>
      <c r="B188" s="76" t="s">
        <v>1011</v>
      </c>
      <c r="C188" s="77" t="s">
        <v>1010</v>
      </c>
      <c r="D188" s="77" t="s">
        <v>492</v>
      </c>
      <c r="E188" s="78" t="s">
        <v>6</v>
      </c>
      <c r="F188" s="77" t="s">
        <v>53</v>
      </c>
      <c r="G188" s="79" t="s">
        <v>78</v>
      </c>
      <c r="H188" s="78"/>
      <c r="I188" s="78"/>
      <c r="J188" s="78" t="s">
        <v>796</v>
      </c>
      <c r="K188" s="81" t="s">
        <v>2</v>
      </c>
      <c r="L188" s="82">
        <f>IFERROR(VLOOKUP($B188,[1]Sheet2!$A:$L,11,FALSE()),"")</f>
        <v>45996</v>
      </c>
      <c r="M188" s="83">
        <v>46386</v>
      </c>
      <c r="N188" s="84">
        <v>46386</v>
      </c>
      <c r="O188" s="78" t="s">
        <v>1</v>
      </c>
      <c r="P188" s="78"/>
      <c r="Q188" s="78" t="str">
        <f>IFERROR(VLOOKUP($B188,[1]Sheet2!$A:$L,12,FALSE()),"")</f>
        <v>Dubai</v>
      </c>
      <c r="R188" s="85">
        <f t="shared" ca="1" si="4"/>
        <v>139</v>
      </c>
      <c r="S188" s="86" t="str">
        <f t="shared" ca="1" si="5"/>
        <v>✓ OK</v>
      </c>
    </row>
    <row r="189" spans="1:19" ht="15.75" customHeight="1">
      <c r="A189" s="75">
        <v>192</v>
      </c>
      <c r="B189" s="76" t="s">
        <v>1009</v>
      </c>
      <c r="C189" s="77" t="s">
        <v>1008</v>
      </c>
      <c r="D189" s="77" t="s">
        <v>492</v>
      </c>
      <c r="E189" s="78" t="s">
        <v>6</v>
      </c>
      <c r="F189" s="77" t="s">
        <v>53</v>
      </c>
      <c r="G189" s="79" t="s">
        <v>788</v>
      </c>
      <c r="H189" s="78"/>
      <c r="I189" s="78"/>
      <c r="J189" s="78" t="s">
        <v>796</v>
      </c>
      <c r="K189" s="88" t="s">
        <v>42</v>
      </c>
      <c r="L189" s="82" t="str">
        <f>IFERROR(VLOOKUP($B189,[1]Sheet2!$A:$L,11,FALSE()),"")</f>
        <v/>
      </c>
      <c r="M189" s="90">
        <v>45621</v>
      </c>
      <c r="N189" s="78" t="s">
        <v>133</v>
      </c>
      <c r="O189" s="78" t="s">
        <v>41</v>
      </c>
      <c r="P189" s="78"/>
      <c r="Q189" s="78" t="str">
        <f>IFERROR(VLOOKUP($B189,[1]Sheet2!$A:$L,12,FALSE()),"")</f>
        <v/>
      </c>
      <c r="R189" s="85">
        <f t="shared" ca="1" si="4"/>
        <v>-626</v>
      </c>
      <c r="S189" s="86" t="str">
        <f t="shared" ca="1" si="5"/>
        <v>EXPIRED</v>
      </c>
    </row>
    <row r="190" spans="1:19" ht="15.75" customHeight="1">
      <c r="A190" s="75">
        <v>193</v>
      </c>
      <c r="B190" s="76" t="s">
        <v>1007</v>
      </c>
      <c r="C190" s="77" t="s">
        <v>1006</v>
      </c>
      <c r="D190" s="77" t="s">
        <v>492</v>
      </c>
      <c r="E190" s="78" t="s">
        <v>6</v>
      </c>
      <c r="F190" s="77" t="s">
        <v>53</v>
      </c>
      <c r="G190" s="79" t="s">
        <v>966</v>
      </c>
      <c r="H190" s="78"/>
      <c r="I190" s="78"/>
      <c r="J190" s="78" t="s">
        <v>796</v>
      </c>
      <c r="K190" s="81" t="s">
        <v>2</v>
      </c>
      <c r="L190" s="82">
        <f>IFERROR(VLOOKUP($B190,[1]Sheet2!$A:$L,11,FALSE()),"")</f>
        <v>45998</v>
      </c>
      <c r="M190" s="83">
        <v>46386</v>
      </c>
      <c r="N190" s="84">
        <v>46386</v>
      </c>
      <c r="O190" s="78" t="s">
        <v>1</v>
      </c>
      <c r="P190" s="78"/>
      <c r="Q190" s="78" t="str">
        <f>IFERROR(VLOOKUP($B190,[1]Sheet2!$A:$L,12,FALSE()),"")</f>
        <v>Dubai</v>
      </c>
      <c r="R190" s="85">
        <f t="shared" ca="1" si="4"/>
        <v>139</v>
      </c>
      <c r="S190" s="86" t="str">
        <f t="shared" ca="1" si="5"/>
        <v>✓ OK</v>
      </c>
    </row>
    <row r="191" spans="1:19" ht="15.75" customHeight="1">
      <c r="A191" s="75">
        <v>194</v>
      </c>
      <c r="B191" s="76" t="s">
        <v>1005</v>
      </c>
      <c r="C191" s="77" t="s">
        <v>1004</v>
      </c>
      <c r="D191" s="77" t="s">
        <v>492</v>
      </c>
      <c r="E191" s="78" t="s">
        <v>6</v>
      </c>
      <c r="F191" s="77" t="s">
        <v>53</v>
      </c>
      <c r="G191" s="79" t="s">
        <v>788</v>
      </c>
      <c r="H191" s="78"/>
      <c r="I191" s="78"/>
      <c r="J191" s="78" t="s">
        <v>796</v>
      </c>
      <c r="K191" s="88" t="s">
        <v>42</v>
      </c>
      <c r="L191" s="82" t="str">
        <f>IFERROR(VLOOKUP($B191,[1]Sheet2!$A:$L,11,FALSE()),"")</f>
        <v/>
      </c>
      <c r="M191" s="90">
        <v>45621</v>
      </c>
      <c r="N191" s="78" t="s">
        <v>133</v>
      </c>
      <c r="O191" s="78" t="s">
        <v>41</v>
      </c>
      <c r="P191" s="78"/>
      <c r="Q191" s="78" t="str">
        <f>IFERROR(VLOOKUP($B191,[1]Sheet2!$A:$L,12,FALSE()),"")</f>
        <v/>
      </c>
      <c r="R191" s="85">
        <f t="shared" ca="1" si="4"/>
        <v>-626</v>
      </c>
      <c r="S191" s="86" t="str">
        <f t="shared" ca="1" si="5"/>
        <v>EXPIRED</v>
      </c>
    </row>
    <row r="192" spans="1:19" ht="15.75" customHeight="1">
      <c r="A192" s="75">
        <v>195</v>
      </c>
      <c r="B192" s="76" t="s">
        <v>1003</v>
      </c>
      <c r="C192" s="77" t="s">
        <v>1002</v>
      </c>
      <c r="D192" s="77" t="s">
        <v>1001</v>
      </c>
      <c r="E192" s="78" t="s">
        <v>6</v>
      </c>
      <c r="F192" s="77" t="s">
        <v>272</v>
      </c>
      <c r="G192" s="79" t="s">
        <v>1000</v>
      </c>
      <c r="H192" s="78"/>
      <c r="I192" s="78"/>
      <c r="J192" s="78" t="s">
        <v>999</v>
      </c>
      <c r="K192" s="88" t="s">
        <v>42</v>
      </c>
      <c r="L192" s="82" t="str">
        <f>IFERROR(VLOOKUP($B192,[1]Sheet2!$A:$L,11,FALSE()),"")</f>
        <v/>
      </c>
      <c r="M192" s="90">
        <v>45631</v>
      </c>
      <c r="N192" s="78" t="s">
        <v>133</v>
      </c>
      <c r="O192" s="78" t="s">
        <v>41</v>
      </c>
      <c r="P192" s="78"/>
      <c r="Q192" s="78" t="str">
        <f>IFERROR(VLOOKUP($B192,[1]Sheet2!$A:$L,12,FALSE()),"")</f>
        <v/>
      </c>
      <c r="R192" s="85">
        <f t="shared" ca="1" si="4"/>
        <v>-616</v>
      </c>
      <c r="S192" s="86" t="str">
        <f t="shared" ca="1" si="5"/>
        <v>EXPIRED</v>
      </c>
    </row>
    <row r="193" spans="1:19" ht="15.75" customHeight="1">
      <c r="A193" s="75">
        <v>196</v>
      </c>
      <c r="B193" s="76" t="s">
        <v>998</v>
      </c>
      <c r="C193" s="77" t="s">
        <v>997</v>
      </c>
      <c r="D193" s="77" t="s">
        <v>997</v>
      </c>
      <c r="E193" s="78" t="s">
        <v>6</v>
      </c>
      <c r="F193" s="77" t="s">
        <v>53</v>
      </c>
      <c r="G193" s="79" t="s">
        <v>78</v>
      </c>
      <c r="H193" s="78"/>
      <c r="I193" s="78"/>
      <c r="J193" s="78" t="s">
        <v>996</v>
      </c>
      <c r="K193" s="81" t="s">
        <v>42</v>
      </c>
      <c r="L193" s="82">
        <f>IFERROR(VLOOKUP($B193,[1]Sheet2!$A:$L,11,FALSE()),"")</f>
        <v>45996</v>
      </c>
      <c r="M193" s="83">
        <v>45981</v>
      </c>
      <c r="N193" s="84">
        <v>46386</v>
      </c>
      <c r="O193" s="78" t="s">
        <v>41</v>
      </c>
      <c r="P193" s="78"/>
      <c r="Q193" s="78" t="str">
        <f>IFERROR(VLOOKUP($B193,[1]Sheet2!$A:$L,12,FALSE()),"")</f>
        <v>Dubai</v>
      </c>
      <c r="R193" s="85">
        <f t="shared" ca="1" si="4"/>
        <v>-266</v>
      </c>
      <c r="S193" s="86" t="str">
        <f t="shared" ca="1" si="5"/>
        <v>EXPIRED</v>
      </c>
    </row>
    <row r="194" spans="1:19" ht="15.75" customHeight="1">
      <c r="A194" s="75">
        <v>197</v>
      </c>
      <c r="B194" s="76" t="s">
        <v>995</v>
      </c>
      <c r="C194" s="77" t="s">
        <v>994</v>
      </c>
      <c r="D194" s="77" t="s">
        <v>993</v>
      </c>
      <c r="E194" s="78" t="s">
        <v>6</v>
      </c>
      <c r="F194" s="77" t="s">
        <v>53</v>
      </c>
      <c r="G194" s="79" t="s">
        <v>78</v>
      </c>
      <c r="H194" s="78"/>
      <c r="I194" s="78"/>
      <c r="J194" s="78" t="s">
        <v>992</v>
      </c>
      <c r="K194" s="81" t="s">
        <v>2</v>
      </c>
      <c r="L194" s="82">
        <f>IFERROR(VLOOKUP($B194,[1]Sheet2!$A:$L,11,FALSE()),"")</f>
        <v>45996</v>
      </c>
      <c r="M194" s="83">
        <v>46386</v>
      </c>
      <c r="N194" s="84">
        <v>46386</v>
      </c>
      <c r="O194" s="78" t="s">
        <v>1</v>
      </c>
      <c r="P194" s="78"/>
      <c r="Q194" s="78" t="str">
        <f>IFERROR(VLOOKUP($B194,[1]Sheet2!$A:$L,12,FALSE()),"")</f>
        <v>Dubai</v>
      </c>
      <c r="R194" s="85">
        <f t="shared" ref="R194:R257" ca="1" si="6">IF(ISNUMBER(M194),INT(M194)-INT(TODAY()),"")</f>
        <v>139</v>
      </c>
      <c r="S194" s="86" t="str">
        <f t="shared" ref="S194:S257" ca="1" si="7">IF(R194="","—",IF(R194&lt;0,"EXPIRED",IF(R194&lt;=30,"⚠ EXPIRES SOON",IF(R194&lt;=90,"⚡ 90 Days","✓ OK"))))</f>
        <v>✓ OK</v>
      </c>
    </row>
    <row r="195" spans="1:19" ht="15.75" customHeight="1">
      <c r="A195" s="75">
        <v>198</v>
      </c>
      <c r="B195" s="76" t="s">
        <v>991</v>
      </c>
      <c r="C195" s="77" t="s">
        <v>990</v>
      </c>
      <c r="D195" s="77" t="s">
        <v>989</v>
      </c>
      <c r="E195" s="78" t="s">
        <v>6</v>
      </c>
      <c r="F195" s="77" t="s">
        <v>53</v>
      </c>
      <c r="G195" s="79" t="s">
        <v>78</v>
      </c>
      <c r="H195" s="78"/>
      <c r="I195" s="78"/>
      <c r="J195" s="78" t="s">
        <v>787</v>
      </c>
      <c r="K195" s="81" t="s">
        <v>2</v>
      </c>
      <c r="L195" s="82">
        <f>IFERROR(VLOOKUP($B195,[1]Sheet2!$A:$L,11,FALSE()),"")</f>
        <v>45996</v>
      </c>
      <c r="M195" s="83">
        <v>46386</v>
      </c>
      <c r="N195" s="84">
        <v>46386</v>
      </c>
      <c r="O195" s="78" t="s">
        <v>1</v>
      </c>
      <c r="P195" s="78"/>
      <c r="Q195" s="78" t="str">
        <f>IFERROR(VLOOKUP($B195,[1]Sheet2!$A:$L,12,FALSE()),"")</f>
        <v>Dubai</v>
      </c>
      <c r="R195" s="85">
        <f t="shared" ca="1" si="6"/>
        <v>139</v>
      </c>
      <c r="S195" s="86" t="str">
        <f t="shared" ca="1" si="7"/>
        <v>✓ OK</v>
      </c>
    </row>
    <row r="196" spans="1:19" ht="15.75" customHeight="1">
      <c r="A196" s="75">
        <v>199</v>
      </c>
      <c r="B196" s="76" t="s">
        <v>988</v>
      </c>
      <c r="C196" s="77" t="s">
        <v>987</v>
      </c>
      <c r="D196" s="77" t="s">
        <v>973</v>
      </c>
      <c r="E196" s="78" t="s">
        <v>6</v>
      </c>
      <c r="F196" s="77" t="s">
        <v>53</v>
      </c>
      <c r="G196" s="79" t="s">
        <v>78</v>
      </c>
      <c r="H196" s="78"/>
      <c r="I196" s="78"/>
      <c r="J196" s="78" t="s">
        <v>787</v>
      </c>
      <c r="K196" s="81" t="s">
        <v>2</v>
      </c>
      <c r="L196" s="82">
        <f>IFERROR(VLOOKUP($B196,[1]Sheet2!$A:$L,11,FALSE()),"")</f>
        <v>45996</v>
      </c>
      <c r="M196" s="83">
        <v>46386</v>
      </c>
      <c r="N196" s="84">
        <v>46386</v>
      </c>
      <c r="O196" s="78" t="s">
        <v>1</v>
      </c>
      <c r="P196" s="78"/>
      <c r="Q196" s="78" t="str">
        <f>IFERROR(VLOOKUP($B196,[1]Sheet2!$A:$L,12,FALSE()),"")</f>
        <v>Dubai</v>
      </c>
      <c r="R196" s="85">
        <f t="shared" ca="1" si="6"/>
        <v>139</v>
      </c>
      <c r="S196" s="86" t="str">
        <f t="shared" ca="1" si="7"/>
        <v>✓ OK</v>
      </c>
    </row>
    <row r="197" spans="1:19" ht="15.75" customHeight="1">
      <c r="A197" s="75">
        <v>200</v>
      </c>
      <c r="B197" s="76" t="s">
        <v>986</v>
      </c>
      <c r="C197" s="77" t="s">
        <v>985</v>
      </c>
      <c r="D197" s="77" t="s">
        <v>985</v>
      </c>
      <c r="E197" s="78" t="s">
        <v>6</v>
      </c>
      <c r="F197" s="77" t="s">
        <v>53</v>
      </c>
      <c r="G197" s="79" t="s">
        <v>788</v>
      </c>
      <c r="H197" s="78"/>
      <c r="I197" s="78"/>
      <c r="J197" s="78" t="s">
        <v>913</v>
      </c>
      <c r="K197" s="81" t="s">
        <v>2</v>
      </c>
      <c r="L197" s="82">
        <f>IFERROR(VLOOKUP($B197,[1]Sheet2!$A:$L,11,FALSE()),"")</f>
        <v>45996</v>
      </c>
      <c r="M197" s="83">
        <v>46386</v>
      </c>
      <c r="N197" s="84">
        <v>46386</v>
      </c>
      <c r="O197" s="78" t="s">
        <v>1</v>
      </c>
      <c r="P197" s="78"/>
      <c r="Q197" s="78" t="str">
        <f>IFERROR(VLOOKUP($B197,[1]Sheet2!$A:$L,12,FALSE()),"")</f>
        <v>Dubai</v>
      </c>
      <c r="R197" s="85">
        <f t="shared" ca="1" si="6"/>
        <v>139</v>
      </c>
      <c r="S197" s="86" t="str">
        <f t="shared" ca="1" si="7"/>
        <v>✓ OK</v>
      </c>
    </row>
    <row r="198" spans="1:19" ht="15.75" customHeight="1">
      <c r="A198" s="75">
        <v>201</v>
      </c>
      <c r="B198" s="76" t="s">
        <v>984</v>
      </c>
      <c r="C198" s="77" t="s">
        <v>983</v>
      </c>
      <c r="D198" s="77" t="s">
        <v>982</v>
      </c>
      <c r="E198" s="78" t="s">
        <v>6</v>
      </c>
      <c r="F198" s="77" t="s">
        <v>53</v>
      </c>
      <c r="G198" s="79" t="s">
        <v>78</v>
      </c>
      <c r="H198" s="78"/>
      <c r="I198" s="78"/>
      <c r="J198" s="78" t="s">
        <v>787</v>
      </c>
      <c r="K198" s="88" t="s">
        <v>42</v>
      </c>
      <c r="L198" s="82" t="str">
        <f>IFERROR(VLOOKUP($B198,[1]Sheet2!$A:$L,11,FALSE()),"")</f>
        <v/>
      </c>
      <c r="M198" s="90">
        <v>45621</v>
      </c>
      <c r="N198" s="78" t="s">
        <v>133</v>
      </c>
      <c r="O198" s="78" t="s">
        <v>41</v>
      </c>
      <c r="P198" s="78"/>
      <c r="Q198" s="78" t="str">
        <f>IFERROR(VLOOKUP($B198,[1]Sheet2!$A:$L,12,FALSE()),"")</f>
        <v/>
      </c>
      <c r="R198" s="85">
        <f t="shared" ca="1" si="6"/>
        <v>-626</v>
      </c>
      <c r="S198" s="86" t="str">
        <f t="shared" ca="1" si="7"/>
        <v>EXPIRED</v>
      </c>
    </row>
    <row r="199" spans="1:19" ht="15.75" customHeight="1">
      <c r="A199" s="75">
        <v>202</v>
      </c>
      <c r="B199" s="76" t="s">
        <v>981</v>
      </c>
      <c r="C199" s="77" t="s">
        <v>980</v>
      </c>
      <c r="D199" s="77" t="s">
        <v>973</v>
      </c>
      <c r="E199" s="78" t="s">
        <v>6</v>
      </c>
      <c r="F199" s="77" t="s">
        <v>53</v>
      </c>
      <c r="G199" s="79" t="s">
        <v>78</v>
      </c>
      <c r="H199" s="78"/>
      <c r="I199" s="78"/>
      <c r="J199" s="78" t="s">
        <v>787</v>
      </c>
      <c r="K199" s="81" t="s">
        <v>2</v>
      </c>
      <c r="L199" s="82">
        <f>IFERROR(VLOOKUP($B199,[1]Sheet2!$A:$L,11,FALSE()),"")</f>
        <v>45996</v>
      </c>
      <c r="M199" s="83">
        <v>46386</v>
      </c>
      <c r="N199" s="84">
        <v>46386</v>
      </c>
      <c r="O199" s="78" t="s">
        <v>1</v>
      </c>
      <c r="P199" s="78"/>
      <c r="Q199" s="78" t="str">
        <f>IFERROR(VLOOKUP($B199,[1]Sheet2!$A:$L,12,FALSE()),"")</f>
        <v>Dubai</v>
      </c>
      <c r="R199" s="85">
        <f t="shared" ca="1" si="6"/>
        <v>139</v>
      </c>
      <c r="S199" s="86" t="str">
        <f t="shared" ca="1" si="7"/>
        <v>✓ OK</v>
      </c>
    </row>
    <row r="200" spans="1:19" ht="15.75" customHeight="1">
      <c r="A200" s="75">
        <v>203</v>
      </c>
      <c r="B200" s="76" t="s">
        <v>979</v>
      </c>
      <c r="C200" s="77" t="s">
        <v>978</v>
      </c>
      <c r="D200" s="77" t="s">
        <v>973</v>
      </c>
      <c r="E200" s="78" t="s">
        <v>6</v>
      </c>
      <c r="F200" s="77" t="s">
        <v>53</v>
      </c>
      <c r="G200" s="79" t="s">
        <v>78</v>
      </c>
      <c r="H200" s="78"/>
      <c r="I200" s="78"/>
      <c r="J200" s="78" t="s">
        <v>787</v>
      </c>
      <c r="K200" s="81" t="s">
        <v>2</v>
      </c>
      <c r="L200" s="82">
        <f>IFERROR(VLOOKUP($B200,[1]Sheet2!$A:$L,11,FALSE()),"")</f>
        <v>45996</v>
      </c>
      <c r="M200" s="83">
        <v>46386</v>
      </c>
      <c r="N200" s="84">
        <v>46386</v>
      </c>
      <c r="O200" s="78" t="s">
        <v>1</v>
      </c>
      <c r="P200" s="78"/>
      <c r="Q200" s="78" t="str">
        <f>IFERROR(VLOOKUP($B200,[1]Sheet2!$A:$L,12,FALSE()),"")</f>
        <v>Dubai</v>
      </c>
      <c r="R200" s="85">
        <f t="shared" ca="1" si="6"/>
        <v>139</v>
      </c>
      <c r="S200" s="86" t="str">
        <f t="shared" ca="1" si="7"/>
        <v>✓ OK</v>
      </c>
    </row>
    <row r="201" spans="1:19" ht="15.75" customHeight="1">
      <c r="A201" s="75">
        <v>204</v>
      </c>
      <c r="B201" s="76" t="s">
        <v>977</v>
      </c>
      <c r="C201" s="77" t="s">
        <v>976</v>
      </c>
      <c r="D201" s="77" t="s">
        <v>973</v>
      </c>
      <c r="E201" s="78" t="s">
        <v>6</v>
      </c>
      <c r="F201" s="77" t="s">
        <v>53</v>
      </c>
      <c r="G201" s="79" t="s">
        <v>78</v>
      </c>
      <c r="H201" s="78"/>
      <c r="I201" s="78"/>
      <c r="J201" s="78" t="s">
        <v>787</v>
      </c>
      <c r="K201" s="81" t="s">
        <v>2</v>
      </c>
      <c r="L201" s="82">
        <f>IFERROR(VLOOKUP($B201,[1]Sheet2!$A:$L,11,FALSE()),"")</f>
        <v>45996</v>
      </c>
      <c r="M201" s="83">
        <v>46386</v>
      </c>
      <c r="N201" s="84">
        <v>46386</v>
      </c>
      <c r="O201" s="78" t="s">
        <v>1</v>
      </c>
      <c r="P201" s="78"/>
      <c r="Q201" s="78" t="str">
        <f>IFERROR(VLOOKUP($B201,[1]Sheet2!$A:$L,12,FALSE()),"")</f>
        <v>Dubai</v>
      </c>
      <c r="R201" s="85">
        <f t="shared" ca="1" si="6"/>
        <v>139</v>
      </c>
      <c r="S201" s="86" t="str">
        <f t="shared" ca="1" si="7"/>
        <v>✓ OK</v>
      </c>
    </row>
    <row r="202" spans="1:19" ht="15.75" customHeight="1">
      <c r="A202" s="75">
        <v>205</v>
      </c>
      <c r="B202" s="76" t="s">
        <v>975</v>
      </c>
      <c r="C202" s="77" t="s">
        <v>974</v>
      </c>
      <c r="D202" s="77" t="s">
        <v>973</v>
      </c>
      <c r="E202" s="78" t="s">
        <v>6</v>
      </c>
      <c r="F202" s="77" t="s">
        <v>53</v>
      </c>
      <c r="G202" s="79" t="s">
        <v>78</v>
      </c>
      <c r="H202" s="78"/>
      <c r="I202" s="78"/>
      <c r="J202" s="78" t="s">
        <v>787</v>
      </c>
      <c r="K202" s="81" t="s">
        <v>2</v>
      </c>
      <c r="L202" s="82">
        <f>IFERROR(VLOOKUP($B202,[1]Sheet2!$A:$L,11,FALSE()),"")</f>
        <v>45996</v>
      </c>
      <c r="M202" s="83">
        <v>46386</v>
      </c>
      <c r="N202" s="84">
        <v>46386</v>
      </c>
      <c r="O202" s="78" t="s">
        <v>1</v>
      </c>
      <c r="P202" s="78"/>
      <c r="Q202" s="78" t="str">
        <f>IFERROR(VLOOKUP($B202,[1]Sheet2!$A:$L,12,FALSE()),"")</f>
        <v>Dubai</v>
      </c>
      <c r="R202" s="85">
        <f t="shared" ca="1" si="6"/>
        <v>139</v>
      </c>
      <c r="S202" s="86" t="str">
        <f t="shared" ca="1" si="7"/>
        <v>✓ OK</v>
      </c>
    </row>
    <row r="203" spans="1:19" ht="15.75" customHeight="1">
      <c r="A203" s="75">
        <v>207</v>
      </c>
      <c r="B203" s="76" t="s">
        <v>972</v>
      </c>
      <c r="C203" s="77" t="s">
        <v>971</v>
      </c>
      <c r="D203" s="77" t="s">
        <v>971</v>
      </c>
      <c r="E203" s="78" t="s">
        <v>6</v>
      </c>
      <c r="F203" s="77" t="s">
        <v>53</v>
      </c>
      <c r="G203" s="79" t="s">
        <v>788</v>
      </c>
      <c r="H203" s="78"/>
      <c r="I203" s="78"/>
      <c r="J203" s="78" t="s">
        <v>913</v>
      </c>
      <c r="K203" s="81" t="s">
        <v>2</v>
      </c>
      <c r="L203" s="82">
        <f>IFERROR(VLOOKUP($B203,[1]Sheet2!$A:$L,11,FALSE()),"")</f>
        <v>45987</v>
      </c>
      <c r="M203" s="83">
        <v>46386</v>
      </c>
      <c r="N203" s="84">
        <v>46386</v>
      </c>
      <c r="O203" s="78" t="s">
        <v>1</v>
      </c>
      <c r="P203" s="78"/>
      <c r="Q203" s="78" t="str">
        <f>IFERROR(VLOOKUP($B203,[1]Sheet2!$A:$L,12,FALSE()),"")</f>
        <v>Dubai</v>
      </c>
      <c r="R203" s="85">
        <f t="shared" ca="1" si="6"/>
        <v>139</v>
      </c>
      <c r="S203" s="86" t="str">
        <f t="shared" ca="1" si="7"/>
        <v>✓ OK</v>
      </c>
    </row>
    <row r="204" spans="1:19" ht="15.75" customHeight="1">
      <c r="A204" s="75">
        <v>208</v>
      </c>
      <c r="B204" s="76" t="s">
        <v>970</v>
      </c>
      <c r="C204" s="77" t="s">
        <v>969</v>
      </c>
      <c r="D204" s="77" t="s">
        <v>969</v>
      </c>
      <c r="E204" s="78" t="s">
        <v>6</v>
      </c>
      <c r="F204" s="77" t="s">
        <v>53</v>
      </c>
      <c r="G204" s="79" t="s">
        <v>78</v>
      </c>
      <c r="H204" s="78"/>
      <c r="I204" s="78"/>
      <c r="J204" s="78" t="s">
        <v>913</v>
      </c>
      <c r="K204" s="81" t="s">
        <v>2</v>
      </c>
      <c r="L204" s="82">
        <f>IFERROR(VLOOKUP($B204,[1]Sheet2!$A:$L,11,FALSE()),"")</f>
        <v>45996</v>
      </c>
      <c r="M204" s="83">
        <v>46386</v>
      </c>
      <c r="N204" s="84">
        <v>46386</v>
      </c>
      <c r="O204" s="78" t="s">
        <v>1</v>
      </c>
      <c r="P204" s="78"/>
      <c r="Q204" s="78" t="str">
        <f>IFERROR(VLOOKUP($B204,[1]Sheet2!$A:$L,12,FALSE()),"")</f>
        <v>Dubai</v>
      </c>
      <c r="R204" s="85">
        <f t="shared" ca="1" si="6"/>
        <v>139</v>
      </c>
      <c r="S204" s="86" t="str">
        <f t="shared" ca="1" si="7"/>
        <v>✓ OK</v>
      </c>
    </row>
    <row r="205" spans="1:19" ht="15.75" customHeight="1">
      <c r="A205" s="75">
        <v>209</v>
      </c>
      <c r="B205" s="76" t="s">
        <v>968</v>
      </c>
      <c r="C205" s="77" t="s">
        <v>967</v>
      </c>
      <c r="D205" s="77" t="s">
        <v>946</v>
      </c>
      <c r="E205" s="78" t="s">
        <v>6</v>
      </c>
      <c r="F205" s="77" t="s">
        <v>53</v>
      </c>
      <c r="G205" s="79" t="s">
        <v>966</v>
      </c>
      <c r="H205" s="78"/>
      <c r="I205" s="78"/>
      <c r="J205" s="78" t="s">
        <v>787</v>
      </c>
      <c r="K205" s="88" t="s">
        <v>42</v>
      </c>
      <c r="L205" s="82">
        <f>IFERROR(VLOOKUP($B205,[1]Sheet2!$A:$L,11,FALSE()),"")</f>
        <v>45644</v>
      </c>
      <c r="M205" s="90">
        <v>46037</v>
      </c>
      <c r="N205" s="78" t="s">
        <v>133</v>
      </c>
      <c r="O205" s="78" t="s">
        <v>41</v>
      </c>
      <c r="P205" s="78"/>
      <c r="Q205" s="78" t="str">
        <f>IFERROR(VLOOKUP($B205,[1]Sheet2!$A:$L,12,FALSE()),"")</f>
        <v>Dubai</v>
      </c>
      <c r="R205" s="85">
        <f t="shared" ca="1" si="6"/>
        <v>-210</v>
      </c>
      <c r="S205" s="86" t="str">
        <f t="shared" ca="1" si="7"/>
        <v>EXPIRED</v>
      </c>
    </row>
    <row r="206" spans="1:19" ht="15.75" customHeight="1">
      <c r="A206" s="75">
        <v>210</v>
      </c>
      <c r="B206" s="76" t="s">
        <v>965</v>
      </c>
      <c r="C206" s="77" t="s">
        <v>964</v>
      </c>
      <c r="D206" s="77" t="s">
        <v>946</v>
      </c>
      <c r="E206" s="78" t="s">
        <v>6</v>
      </c>
      <c r="F206" s="77" t="s">
        <v>53</v>
      </c>
      <c r="G206" s="79" t="s">
        <v>922</v>
      </c>
      <c r="H206" s="78"/>
      <c r="I206" s="78"/>
      <c r="J206" s="78" t="s">
        <v>787</v>
      </c>
      <c r="K206" s="81" t="s">
        <v>2</v>
      </c>
      <c r="L206" s="82">
        <f>IFERROR(VLOOKUP($B206,[1]Sheet2!$A:$L,11,FALSE()),"")</f>
        <v>45996</v>
      </c>
      <c r="M206" s="83">
        <v>46386</v>
      </c>
      <c r="N206" s="84">
        <v>46386</v>
      </c>
      <c r="O206" s="78" t="s">
        <v>1</v>
      </c>
      <c r="P206" s="78"/>
      <c r="Q206" s="78" t="str">
        <f>IFERROR(VLOOKUP($B206,[1]Sheet2!$A:$L,12,FALSE()),"")</f>
        <v>Dubai</v>
      </c>
      <c r="R206" s="85">
        <f t="shared" ca="1" si="6"/>
        <v>139</v>
      </c>
      <c r="S206" s="86" t="str">
        <f t="shared" ca="1" si="7"/>
        <v>✓ OK</v>
      </c>
    </row>
    <row r="207" spans="1:19" ht="15.75" customHeight="1">
      <c r="A207" s="75">
        <v>211</v>
      </c>
      <c r="B207" s="76" t="s">
        <v>963</v>
      </c>
      <c r="C207" s="77" t="s">
        <v>962</v>
      </c>
      <c r="D207" s="77" t="s">
        <v>946</v>
      </c>
      <c r="E207" s="78" t="s">
        <v>6</v>
      </c>
      <c r="F207" s="77" t="s">
        <v>53</v>
      </c>
      <c r="G207" s="79" t="s">
        <v>788</v>
      </c>
      <c r="H207" s="78"/>
      <c r="I207" s="78"/>
      <c r="J207" s="78" t="s">
        <v>787</v>
      </c>
      <c r="K207" s="81" t="s">
        <v>2</v>
      </c>
      <c r="L207" s="82">
        <f>IFERROR(VLOOKUP($B207,[1]Sheet2!$A:$L,11,FALSE()),"")</f>
        <v>45995</v>
      </c>
      <c r="M207" s="83">
        <v>46386</v>
      </c>
      <c r="N207" s="84">
        <v>46386</v>
      </c>
      <c r="O207" s="78" t="s">
        <v>1</v>
      </c>
      <c r="P207" s="78"/>
      <c r="Q207" s="78" t="str">
        <f>IFERROR(VLOOKUP($B207,[1]Sheet2!$A:$L,12,FALSE()),"")</f>
        <v>Dubai</v>
      </c>
      <c r="R207" s="85">
        <f t="shared" ca="1" si="6"/>
        <v>139</v>
      </c>
      <c r="S207" s="86" t="str">
        <f t="shared" ca="1" si="7"/>
        <v>✓ OK</v>
      </c>
    </row>
    <row r="208" spans="1:19" ht="15.75" customHeight="1">
      <c r="A208" s="75">
        <v>212</v>
      </c>
      <c r="B208" s="76" t="s">
        <v>961</v>
      </c>
      <c r="C208" s="77" t="s">
        <v>960</v>
      </c>
      <c r="D208" s="77" t="s">
        <v>946</v>
      </c>
      <c r="E208" s="78" t="s">
        <v>6</v>
      </c>
      <c r="F208" s="77" t="s">
        <v>53</v>
      </c>
      <c r="G208" s="79" t="s">
        <v>959</v>
      </c>
      <c r="H208" s="78"/>
      <c r="I208" s="78"/>
      <c r="J208" s="78" t="s">
        <v>787</v>
      </c>
      <c r="K208" s="81" t="s">
        <v>2</v>
      </c>
      <c r="L208" s="82">
        <f>IFERROR(VLOOKUP($B208,[1]Sheet2!$A:$L,11,FALSE()),"")</f>
        <v>45996</v>
      </c>
      <c r="M208" s="83">
        <v>46386</v>
      </c>
      <c r="N208" s="84">
        <v>46386</v>
      </c>
      <c r="O208" s="78" t="s">
        <v>1</v>
      </c>
      <c r="P208" s="78"/>
      <c r="Q208" s="78" t="str">
        <f>IFERROR(VLOOKUP($B208,[1]Sheet2!$A:$L,12,FALSE()),"")</f>
        <v>Dubai</v>
      </c>
      <c r="R208" s="85">
        <f t="shared" ca="1" si="6"/>
        <v>139</v>
      </c>
      <c r="S208" s="86" t="str">
        <f t="shared" ca="1" si="7"/>
        <v>✓ OK</v>
      </c>
    </row>
    <row r="209" spans="1:19" ht="15.75" customHeight="1">
      <c r="A209" s="75">
        <v>213</v>
      </c>
      <c r="B209" s="76" t="s">
        <v>958</v>
      </c>
      <c r="C209" s="77" t="s">
        <v>957</v>
      </c>
      <c r="D209" s="77" t="s">
        <v>946</v>
      </c>
      <c r="E209" s="78" t="s">
        <v>6</v>
      </c>
      <c r="F209" s="77" t="s">
        <v>53</v>
      </c>
      <c r="G209" s="79" t="s">
        <v>788</v>
      </c>
      <c r="H209" s="78"/>
      <c r="I209" s="78"/>
      <c r="J209" s="78" t="s">
        <v>787</v>
      </c>
      <c r="K209" s="81" t="s">
        <v>2</v>
      </c>
      <c r="L209" s="82">
        <f>IFERROR(VLOOKUP($B209,[1]Sheet2!$A:$L,11,FALSE()),"")</f>
        <v>45994</v>
      </c>
      <c r="M209" s="83">
        <v>46386</v>
      </c>
      <c r="N209" s="84">
        <v>46386</v>
      </c>
      <c r="O209" s="78" t="s">
        <v>1</v>
      </c>
      <c r="P209" s="78"/>
      <c r="Q209" s="78" t="str">
        <f>IFERROR(VLOOKUP($B209,[1]Sheet2!$A:$L,12,FALSE()),"")</f>
        <v>Dubai</v>
      </c>
      <c r="R209" s="85">
        <f t="shared" ca="1" si="6"/>
        <v>139</v>
      </c>
      <c r="S209" s="86" t="str">
        <f t="shared" ca="1" si="7"/>
        <v>✓ OK</v>
      </c>
    </row>
    <row r="210" spans="1:19" ht="15.75" customHeight="1">
      <c r="A210" s="75">
        <v>214</v>
      </c>
      <c r="B210" s="76" t="s">
        <v>956</v>
      </c>
      <c r="C210" s="77" t="s">
        <v>955</v>
      </c>
      <c r="D210" s="77" t="s">
        <v>946</v>
      </c>
      <c r="E210" s="78" t="s">
        <v>6</v>
      </c>
      <c r="F210" s="77" t="s">
        <v>53</v>
      </c>
      <c r="G210" s="79" t="s">
        <v>788</v>
      </c>
      <c r="H210" s="78"/>
      <c r="I210" s="78"/>
      <c r="J210" s="78" t="s">
        <v>787</v>
      </c>
      <c r="K210" s="88" t="s">
        <v>42</v>
      </c>
      <c r="L210" s="82" t="str">
        <f>IFERROR(VLOOKUP($B210,[1]Sheet2!$A:$L,11,FALSE()),"")</f>
        <v/>
      </c>
      <c r="M210" s="90">
        <v>46022</v>
      </c>
      <c r="N210" s="78" t="s">
        <v>133</v>
      </c>
      <c r="O210" s="78" t="s">
        <v>41</v>
      </c>
      <c r="P210" s="78"/>
      <c r="Q210" s="78" t="str">
        <f>IFERROR(VLOOKUP($B210,[1]Sheet2!$A:$L,12,FALSE()),"")</f>
        <v/>
      </c>
      <c r="R210" s="85">
        <f t="shared" ca="1" si="6"/>
        <v>-225</v>
      </c>
      <c r="S210" s="86" t="str">
        <f t="shared" ca="1" si="7"/>
        <v>EXPIRED</v>
      </c>
    </row>
    <row r="211" spans="1:19" ht="15.75" customHeight="1">
      <c r="A211" s="75">
        <v>215</v>
      </c>
      <c r="B211" s="76" t="s">
        <v>954</v>
      </c>
      <c r="C211" s="77" t="s">
        <v>953</v>
      </c>
      <c r="D211" s="77" t="s">
        <v>946</v>
      </c>
      <c r="E211" s="78" t="s">
        <v>6</v>
      </c>
      <c r="F211" s="77" t="s">
        <v>53</v>
      </c>
      <c r="G211" s="79" t="s">
        <v>788</v>
      </c>
      <c r="H211" s="78"/>
      <c r="I211" s="78"/>
      <c r="J211" s="78" t="s">
        <v>787</v>
      </c>
      <c r="K211" s="88" t="s">
        <v>42</v>
      </c>
      <c r="L211" s="82" t="str">
        <f>IFERROR(VLOOKUP($B211,[1]Sheet2!$A:$L,11,FALSE()),"")</f>
        <v/>
      </c>
      <c r="M211" s="90">
        <v>46022</v>
      </c>
      <c r="N211" s="78" t="s">
        <v>133</v>
      </c>
      <c r="O211" s="78" t="s">
        <v>41</v>
      </c>
      <c r="P211" s="78"/>
      <c r="Q211" s="78" t="str">
        <f>IFERROR(VLOOKUP($B211,[1]Sheet2!$A:$L,12,FALSE()),"")</f>
        <v/>
      </c>
      <c r="R211" s="85">
        <f t="shared" ca="1" si="6"/>
        <v>-225</v>
      </c>
      <c r="S211" s="86" t="str">
        <f t="shared" ca="1" si="7"/>
        <v>EXPIRED</v>
      </c>
    </row>
    <row r="212" spans="1:19" ht="15.75" customHeight="1">
      <c r="A212" s="75">
        <v>216</v>
      </c>
      <c r="B212" s="76" t="s">
        <v>952</v>
      </c>
      <c r="C212" s="77" t="s">
        <v>951</v>
      </c>
      <c r="D212" s="77" t="s">
        <v>946</v>
      </c>
      <c r="E212" s="78" t="s">
        <v>6</v>
      </c>
      <c r="F212" s="77" t="s">
        <v>53</v>
      </c>
      <c r="G212" s="79" t="s">
        <v>922</v>
      </c>
      <c r="H212" s="78"/>
      <c r="I212" s="78"/>
      <c r="J212" s="78" t="s">
        <v>787</v>
      </c>
      <c r="K212" s="88" t="s">
        <v>42</v>
      </c>
      <c r="L212" s="82" t="str">
        <f>IFERROR(VLOOKUP($B212,[1]Sheet2!$A:$L,11,FALSE()),"")</f>
        <v/>
      </c>
      <c r="M212" s="90">
        <v>46022</v>
      </c>
      <c r="N212" s="78" t="s">
        <v>133</v>
      </c>
      <c r="O212" s="78" t="s">
        <v>41</v>
      </c>
      <c r="P212" s="78"/>
      <c r="Q212" s="78" t="str">
        <f>IFERROR(VLOOKUP($B212,[1]Sheet2!$A:$L,12,FALSE()),"")</f>
        <v/>
      </c>
      <c r="R212" s="85">
        <f t="shared" ca="1" si="6"/>
        <v>-225</v>
      </c>
      <c r="S212" s="86" t="str">
        <f t="shared" ca="1" si="7"/>
        <v>EXPIRED</v>
      </c>
    </row>
    <row r="213" spans="1:19" ht="15.75" customHeight="1">
      <c r="A213" s="75">
        <v>217</v>
      </c>
      <c r="B213" s="76" t="s">
        <v>950</v>
      </c>
      <c r="C213" s="77" t="s">
        <v>949</v>
      </c>
      <c r="D213" s="77" t="s">
        <v>946</v>
      </c>
      <c r="E213" s="78" t="s">
        <v>6</v>
      </c>
      <c r="F213" s="77" t="s">
        <v>53</v>
      </c>
      <c r="G213" s="79" t="s">
        <v>922</v>
      </c>
      <c r="H213" s="78"/>
      <c r="I213" s="78"/>
      <c r="J213" s="78" t="s">
        <v>787</v>
      </c>
      <c r="K213" s="88" t="s">
        <v>42</v>
      </c>
      <c r="L213" s="82" t="str">
        <f>IFERROR(VLOOKUP($B213,[1]Sheet2!$A:$L,11,FALSE()),"")</f>
        <v/>
      </c>
      <c r="M213" s="90">
        <v>45798</v>
      </c>
      <c r="N213" s="78" t="s">
        <v>133</v>
      </c>
      <c r="O213" s="78" t="s">
        <v>41</v>
      </c>
      <c r="P213" s="78"/>
      <c r="Q213" s="78" t="str">
        <f>IFERROR(VLOOKUP($B213,[1]Sheet2!$A:$L,12,FALSE()),"")</f>
        <v/>
      </c>
      <c r="R213" s="85">
        <f t="shared" ca="1" si="6"/>
        <v>-449</v>
      </c>
      <c r="S213" s="86" t="str">
        <f t="shared" ca="1" si="7"/>
        <v>EXPIRED</v>
      </c>
    </row>
    <row r="214" spans="1:19" ht="15.75" customHeight="1">
      <c r="A214" s="75">
        <v>218</v>
      </c>
      <c r="B214" s="76" t="s">
        <v>948</v>
      </c>
      <c r="C214" s="77" t="s">
        <v>947</v>
      </c>
      <c r="D214" s="77" t="s">
        <v>946</v>
      </c>
      <c r="E214" s="78" t="s">
        <v>6</v>
      </c>
      <c r="F214" s="77" t="s">
        <v>53</v>
      </c>
      <c r="G214" s="79" t="s">
        <v>922</v>
      </c>
      <c r="H214" s="78"/>
      <c r="I214" s="78"/>
      <c r="J214" s="78" t="s">
        <v>787</v>
      </c>
      <c r="K214" s="81" t="s">
        <v>2</v>
      </c>
      <c r="L214" s="82">
        <f>IFERROR(VLOOKUP($B214,[1]Sheet2!$A:$L,11,FALSE()),"")</f>
        <v>45996</v>
      </c>
      <c r="M214" s="83">
        <v>46386</v>
      </c>
      <c r="N214" s="84">
        <v>46386</v>
      </c>
      <c r="O214" s="78" t="s">
        <v>1</v>
      </c>
      <c r="P214" s="78"/>
      <c r="Q214" s="78" t="str">
        <f>IFERROR(VLOOKUP($B214,[1]Sheet2!$A:$L,12,FALSE()),"")</f>
        <v>Dubai</v>
      </c>
      <c r="R214" s="85">
        <f t="shared" ca="1" si="6"/>
        <v>139</v>
      </c>
      <c r="S214" s="86" t="str">
        <f t="shared" ca="1" si="7"/>
        <v>✓ OK</v>
      </c>
    </row>
    <row r="215" spans="1:19" ht="15.75" customHeight="1">
      <c r="A215" s="75">
        <v>219</v>
      </c>
      <c r="B215" s="76" t="s">
        <v>945</v>
      </c>
      <c r="C215" s="77" t="s">
        <v>944</v>
      </c>
      <c r="D215" s="77" t="s">
        <v>937</v>
      </c>
      <c r="E215" s="78" t="s">
        <v>6</v>
      </c>
      <c r="F215" s="77" t="s">
        <v>53</v>
      </c>
      <c r="G215" s="79" t="s">
        <v>788</v>
      </c>
      <c r="H215" s="78"/>
      <c r="I215" s="78"/>
      <c r="J215" s="78" t="s">
        <v>787</v>
      </c>
      <c r="K215" s="81" t="s">
        <v>2</v>
      </c>
      <c r="L215" s="82" t="s">
        <v>10</v>
      </c>
      <c r="M215" s="83">
        <v>46022</v>
      </c>
      <c r="N215" s="84">
        <v>46021</v>
      </c>
      <c r="O215" s="78" t="s">
        <v>1</v>
      </c>
      <c r="P215" s="78"/>
      <c r="Q215" s="78" t="s">
        <v>57</v>
      </c>
      <c r="R215" s="85">
        <f t="shared" ca="1" si="6"/>
        <v>-225</v>
      </c>
      <c r="S215" s="86" t="str">
        <f t="shared" ca="1" si="7"/>
        <v>EXPIRED</v>
      </c>
    </row>
    <row r="216" spans="1:19" ht="15.75" customHeight="1">
      <c r="A216" s="75">
        <v>220</v>
      </c>
      <c r="B216" s="76" t="s">
        <v>943</v>
      </c>
      <c r="C216" s="77" t="s">
        <v>942</v>
      </c>
      <c r="D216" s="77" t="s">
        <v>937</v>
      </c>
      <c r="E216" s="78" t="s">
        <v>6</v>
      </c>
      <c r="F216" s="77" t="s">
        <v>53</v>
      </c>
      <c r="G216" s="79" t="s">
        <v>788</v>
      </c>
      <c r="H216" s="78"/>
      <c r="I216" s="78"/>
      <c r="J216" s="78" t="s">
        <v>787</v>
      </c>
      <c r="K216" s="81" t="s">
        <v>2</v>
      </c>
      <c r="L216" s="82" t="s">
        <v>10</v>
      </c>
      <c r="M216" s="83">
        <v>46022</v>
      </c>
      <c r="N216" s="84">
        <v>46021</v>
      </c>
      <c r="O216" s="78" t="s">
        <v>1</v>
      </c>
      <c r="P216" s="78"/>
      <c r="Q216" s="78" t="s">
        <v>57</v>
      </c>
      <c r="R216" s="85">
        <f t="shared" ca="1" si="6"/>
        <v>-225</v>
      </c>
      <c r="S216" s="86" t="str">
        <f t="shared" ca="1" si="7"/>
        <v>EXPIRED</v>
      </c>
    </row>
    <row r="217" spans="1:19" ht="15.75" customHeight="1">
      <c r="A217" s="75">
        <v>221</v>
      </c>
      <c r="B217" s="76" t="s">
        <v>941</v>
      </c>
      <c r="C217" s="77" t="s">
        <v>940</v>
      </c>
      <c r="D217" s="77" t="s">
        <v>937</v>
      </c>
      <c r="E217" s="78" t="s">
        <v>6</v>
      </c>
      <c r="F217" s="77" t="s">
        <v>53</v>
      </c>
      <c r="G217" s="79" t="s">
        <v>788</v>
      </c>
      <c r="H217" s="78"/>
      <c r="I217" s="78"/>
      <c r="J217" s="78" t="s">
        <v>787</v>
      </c>
      <c r="K217" s="81" t="s">
        <v>2</v>
      </c>
      <c r="L217" s="82" t="s">
        <v>10</v>
      </c>
      <c r="M217" s="83">
        <v>46022</v>
      </c>
      <c r="N217" s="84">
        <v>46021</v>
      </c>
      <c r="O217" s="78" t="s">
        <v>1</v>
      </c>
      <c r="P217" s="78"/>
      <c r="Q217" s="78" t="s">
        <v>57</v>
      </c>
      <c r="R217" s="85">
        <f t="shared" ca="1" si="6"/>
        <v>-225</v>
      </c>
      <c r="S217" s="86" t="str">
        <f t="shared" ca="1" si="7"/>
        <v>EXPIRED</v>
      </c>
    </row>
    <row r="218" spans="1:19" ht="15.75" customHeight="1">
      <c r="A218" s="75">
        <v>222</v>
      </c>
      <c r="B218" s="76" t="s">
        <v>939</v>
      </c>
      <c r="C218" s="77" t="s">
        <v>938</v>
      </c>
      <c r="D218" s="77" t="s">
        <v>937</v>
      </c>
      <c r="E218" s="78" t="s">
        <v>6</v>
      </c>
      <c r="F218" s="77" t="s">
        <v>53</v>
      </c>
      <c r="G218" s="79" t="s">
        <v>788</v>
      </c>
      <c r="H218" s="78"/>
      <c r="I218" s="78"/>
      <c r="J218" s="78" t="s">
        <v>787</v>
      </c>
      <c r="K218" s="81" t="s">
        <v>2</v>
      </c>
      <c r="L218" s="82" t="s">
        <v>10</v>
      </c>
      <c r="M218" s="83">
        <v>46022</v>
      </c>
      <c r="N218" s="84">
        <v>46021</v>
      </c>
      <c r="O218" s="78" t="s">
        <v>1</v>
      </c>
      <c r="P218" s="78"/>
      <c r="Q218" s="78" t="s">
        <v>57</v>
      </c>
      <c r="R218" s="85">
        <f t="shared" ca="1" si="6"/>
        <v>-225</v>
      </c>
      <c r="S218" s="86" t="str">
        <f t="shared" ca="1" si="7"/>
        <v>EXPIRED</v>
      </c>
    </row>
    <row r="219" spans="1:19" ht="15.75" customHeight="1">
      <c r="A219" s="75">
        <v>223</v>
      </c>
      <c r="B219" s="76" t="s">
        <v>936</v>
      </c>
      <c r="C219" s="77" t="s">
        <v>935</v>
      </c>
      <c r="D219" s="77" t="s">
        <v>935</v>
      </c>
      <c r="E219" s="78" t="s">
        <v>6</v>
      </c>
      <c r="F219" s="77" t="s">
        <v>53</v>
      </c>
      <c r="G219" s="79" t="s">
        <v>788</v>
      </c>
      <c r="H219" s="78"/>
      <c r="I219" s="78"/>
      <c r="J219" s="78" t="s">
        <v>934</v>
      </c>
      <c r="K219" s="81" t="s">
        <v>2</v>
      </c>
      <c r="L219" s="82">
        <f>IFERROR(VLOOKUP($B219,[1]Sheet2!$A:$L,11,FALSE()),"")</f>
        <v>45996</v>
      </c>
      <c r="M219" s="83">
        <v>46386</v>
      </c>
      <c r="N219" s="84">
        <v>46386</v>
      </c>
      <c r="O219" s="78" t="s">
        <v>1</v>
      </c>
      <c r="P219" s="78"/>
      <c r="Q219" s="78" t="str">
        <f>IFERROR(VLOOKUP($B219,[1]Sheet2!$A:$L,12,FALSE()),"")</f>
        <v>Dubai</v>
      </c>
      <c r="R219" s="85">
        <f t="shared" ca="1" si="6"/>
        <v>139</v>
      </c>
      <c r="S219" s="86" t="str">
        <f t="shared" ca="1" si="7"/>
        <v>✓ OK</v>
      </c>
    </row>
    <row r="220" spans="1:19" ht="15.75" customHeight="1">
      <c r="A220" s="75">
        <v>224</v>
      </c>
      <c r="B220" s="76" t="s">
        <v>933</v>
      </c>
      <c r="C220" s="77" t="s">
        <v>932</v>
      </c>
      <c r="D220" s="77" t="s">
        <v>931</v>
      </c>
      <c r="E220" s="78" t="s">
        <v>6</v>
      </c>
      <c r="F220" s="77" t="s">
        <v>53</v>
      </c>
      <c r="G220" s="79" t="s">
        <v>788</v>
      </c>
      <c r="H220" s="78"/>
      <c r="I220" s="78"/>
      <c r="J220" s="78" t="s">
        <v>787</v>
      </c>
      <c r="K220" s="81" t="s">
        <v>2</v>
      </c>
      <c r="L220" s="82">
        <f>IFERROR(VLOOKUP($B220,[1]Sheet2!$A:$L,11,FALSE()),"")</f>
        <v>45995</v>
      </c>
      <c r="M220" s="83">
        <v>46386</v>
      </c>
      <c r="N220" s="84">
        <v>46386</v>
      </c>
      <c r="O220" s="78" t="s">
        <v>1</v>
      </c>
      <c r="P220" s="78"/>
      <c r="Q220" s="78" t="str">
        <f>IFERROR(VLOOKUP($B220,[1]Sheet2!$A:$L,12,FALSE()),"")</f>
        <v>Dubai</v>
      </c>
      <c r="R220" s="85">
        <f t="shared" ca="1" si="6"/>
        <v>139</v>
      </c>
      <c r="S220" s="86" t="str">
        <f t="shared" ca="1" si="7"/>
        <v>✓ OK</v>
      </c>
    </row>
    <row r="221" spans="1:19" ht="15.75" customHeight="1">
      <c r="A221" s="75">
        <v>225</v>
      </c>
      <c r="B221" s="76" t="s">
        <v>930</v>
      </c>
      <c r="C221" s="77" t="s">
        <v>929</v>
      </c>
      <c r="D221" s="77" t="s">
        <v>929</v>
      </c>
      <c r="E221" s="78" t="s">
        <v>6</v>
      </c>
      <c r="F221" s="77" t="s">
        <v>53</v>
      </c>
      <c r="G221" s="79" t="s">
        <v>788</v>
      </c>
      <c r="H221" s="78"/>
      <c r="I221" s="78"/>
      <c r="J221" s="78" t="s">
        <v>787</v>
      </c>
      <c r="K221" s="81" t="s">
        <v>2</v>
      </c>
      <c r="L221" s="82">
        <f>IFERROR(VLOOKUP($B221,[1]Sheet2!$A:$L,11,FALSE()),"")</f>
        <v>45994</v>
      </c>
      <c r="M221" s="83">
        <v>46386</v>
      </c>
      <c r="N221" s="84">
        <v>46386</v>
      </c>
      <c r="O221" s="78" t="s">
        <v>1</v>
      </c>
      <c r="P221" s="78"/>
      <c r="Q221" s="78" t="str">
        <f>IFERROR(VLOOKUP($B221,[1]Sheet2!$A:$L,12,FALSE()),"")</f>
        <v>Dubai</v>
      </c>
      <c r="R221" s="85">
        <f t="shared" ca="1" si="6"/>
        <v>139</v>
      </c>
      <c r="S221" s="86" t="str">
        <f t="shared" ca="1" si="7"/>
        <v>✓ OK</v>
      </c>
    </row>
    <row r="222" spans="1:19" ht="15.75" customHeight="1">
      <c r="A222" s="75">
        <v>226</v>
      </c>
      <c r="B222" s="76" t="s">
        <v>928</v>
      </c>
      <c r="C222" s="77" t="s">
        <v>927</v>
      </c>
      <c r="D222" s="77" t="s">
        <v>927</v>
      </c>
      <c r="E222" s="78" t="s">
        <v>6</v>
      </c>
      <c r="F222" s="77" t="s">
        <v>53</v>
      </c>
      <c r="G222" s="79" t="s">
        <v>788</v>
      </c>
      <c r="H222" s="78"/>
      <c r="I222" s="78"/>
      <c r="J222" s="78" t="s">
        <v>787</v>
      </c>
      <c r="K222" s="81" t="s">
        <v>2</v>
      </c>
      <c r="L222" s="82">
        <f>IFERROR(VLOOKUP($B222,[1]Sheet2!$A:$L,11,FALSE()),"")</f>
        <v>45996</v>
      </c>
      <c r="M222" s="83">
        <v>46386</v>
      </c>
      <c r="N222" s="84">
        <v>46386</v>
      </c>
      <c r="O222" s="78" t="s">
        <v>1</v>
      </c>
      <c r="P222" s="78"/>
      <c r="Q222" s="78" t="str">
        <f>IFERROR(VLOOKUP($B222,[1]Sheet2!$A:$L,12,FALSE()),"")</f>
        <v>Dubai</v>
      </c>
      <c r="R222" s="85">
        <f t="shared" ca="1" si="6"/>
        <v>139</v>
      </c>
      <c r="S222" s="86" t="str">
        <f t="shared" ca="1" si="7"/>
        <v>✓ OK</v>
      </c>
    </row>
    <row r="223" spans="1:19" ht="15.75" customHeight="1">
      <c r="A223" s="75">
        <v>227</v>
      </c>
      <c r="B223" s="76" t="s">
        <v>926</v>
      </c>
      <c r="C223" s="77" t="s">
        <v>925</v>
      </c>
      <c r="D223" s="77" t="s">
        <v>916</v>
      </c>
      <c r="E223" s="78" t="s">
        <v>6</v>
      </c>
      <c r="F223" s="77" t="s">
        <v>53</v>
      </c>
      <c r="G223" s="79" t="s">
        <v>922</v>
      </c>
      <c r="H223" s="78"/>
      <c r="I223" s="78"/>
      <c r="J223" s="78" t="s">
        <v>787</v>
      </c>
      <c r="K223" s="81" t="s">
        <v>2</v>
      </c>
      <c r="L223" s="82">
        <f>IFERROR(VLOOKUP($B223,[1]Sheet2!$A:$L,11,FALSE()),"")</f>
        <v>45996</v>
      </c>
      <c r="M223" s="83">
        <v>46386</v>
      </c>
      <c r="N223" s="84">
        <v>46386</v>
      </c>
      <c r="O223" s="78" t="s">
        <v>1</v>
      </c>
      <c r="P223" s="78"/>
      <c r="Q223" s="78" t="str">
        <f>IFERROR(VLOOKUP($B223,[1]Sheet2!$A:$L,12,FALSE()),"")</f>
        <v>Dubai</v>
      </c>
      <c r="R223" s="85">
        <f t="shared" ca="1" si="6"/>
        <v>139</v>
      </c>
      <c r="S223" s="86" t="str">
        <f t="shared" ca="1" si="7"/>
        <v>✓ OK</v>
      </c>
    </row>
    <row r="224" spans="1:19" ht="15.75" customHeight="1">
      <c r="A224" s="75">
        <v>228</v>
      </c>
      <c r="B224" s="76" t="s">
        <v>924</v>
      </c>
      <c r="C224" s="77" t="s">
        <v>923</v>
      </c>
      <c r="D224" s="77" t="s">
        <v>916</v>
      </c>
      <c r="E224" s="78" t="s">
        <v>6</v>
      </c>
      <c r="F224" s="77" t="s">
        <v>53</v>
      </c>
      <c r="G224" s="79" t="s">
        <v>922</v>
      </c>
      <c r="H224" s="78"/>
      <c r="I224" s="78"/>
      <c r="J224" s="78" t="s">
        <v>921</v>
      </c>
      <c r="K224" s="81" t="s">
        <v>2</v>
      </c>
      <c r="L224" s="82">
        <f>IFERROR(VLOOKUP($B224,[1]Sheet2!$A:$L,11,FALSE()),"")</f>
        <v>45989</v>
      </c>
      <c r="M224" s="83">
        <v>46386</v>
      </c>
      <c r="N224" s="84">
        <v>46386</v>
      </c>
      <c r="O224" s="78" t="s">
        <v>1</v>
      </c>
      <c r="P224" s="78"/>
      <c r="Q224" s="78" t="str">
        <f>IFERROR(VLOOKUP($B224,[1]Sheet2!$A:$L,12,FALSE()),"")</f>
        <v>Dubai</v>
      </c>
      <c r="R224" s="85">
        <f t="shared" ca="1" si="6"/>
        <v>139</v>
      </c>
      <c r="S224" s="86" t="str">
        <f t="shared" ca="1" si="7"/>
        <v>✓ OK</v>
      </c>
    </row>
    <row r="225" spans="1:19" ht="15.75" customHeight="1">
      <c r="A225" s="75">
        <v>229</v>
      </c>
      <c r="B225" s="76" t="s">
        <v>920</v>
      </c>
      <c r="C225" s="77" t="s">
        <v>919</v>
      </c>
      <c r="D225" s="77" t="s">
        <v>916</v>
      </c>
      <c r="E225" s="78" t="s">
        <v>6</v>
      </c>
      <c r="F225" s="77" t="s">
        <v>53</v>
      </c>
      <c r="G225" s="79" t="s">
        <v>788</v>
      </c>
      <c r="H225" s="78"/>
      <c r="I225" s="78"/>
      <c r="J225" s="78" t="s">
        <v>787</v>
      </c>
      <c r="K225" s="81" t="s">
        <v>2</v>
      </c>
      <c r="L225" s="82">
        <f>IFERROR(VLOOKUP($B225,[1]Sheet2!$A:$L,11,FALSE()),"")</f>
        <v>45989</v>
      </c>
      <c r="M225" s="83">
        <v>46386</v>
      </c>
      <c r="N225" s="84">
        <v>46386</v>
      </c>
      <c r="O225" s="78" t="s">
        <v>1</v>
      </c>
      <c r="P225" s="78"/>
      <c r="Q225" s="78" t="str">
        <f>IFERROR(VLOOKUP($B225,[1]Sheet2!$A:$L,12,FALSE()),"")</f>
        <v>Dubai</v>
      </c>
      <c r="R225" s="85">
        <f t="shared" ca="1" si="6"/>
        <v>139</v>
      </c>
      <c r="S225" s="86" t="str">
        <f t="shared" ca="1" si="7"/>
        <v>✓ OK</v>
      </c>
    </row>
    <row r="226" spans="1:19" ht="15.75" customHeight="1">
      <c r="A226" s="75">
        <v>230</v>
      </c>
      <c r="B226" s="76" t="s">
        <v>918</v>
      </c>
      <c r="C226" s="77" t="s">
        <v>917</v>
      </c>
      <c r="D226" s="77" t="s">
        <v>916</v>
      </c>
      <c r="E226" s="78" t="s">
        <v>6</v>
      </c>
      <c r="F226" s="77" t="s">
        <v>53</v>
      </c>
      <c r="G226" s="79" t="s">
        <v>788</v>
      </c>
      <c r="H226" s="78"/>
      <c r="I226" s="78"/>
      <c r="J226" s="78" t="s">
        <v>787</v>
      </c>
      <c r="K226" s="81" t="s">
        <v>2</v>
      </c>
      <c r="L226" s="82">
        <f>IFERROR(VLOOKUP($B226,[1]Sheet2!$A:$L,11,FALSE()),"")</f>
        <v>45989</v>
      </c>
      <c r="M226" s="83">
        <v>46386</v>
      </c>
      <c r="N226" s="84">
        <v>46386</v>
      </c>
      <c r="O226" s="78" t="s">
        <v>1</v>
      </c>
      <c r="P226" s="78"/>
      <c r="Q226" s="78" t="str">
        <f>IFERROR(VLOOKUP($B226,[1]Sheet2!$A:$L,12,FALSE()),"")</f>
        <v>Dubai</v>
      </c>
      <c r="R226" s="85">
        <f t="shared" ca="1" si="6"/>
        <v>139</v>
      </c>
      <c r="S226" s="86" t="str">
        <f t="shared" ca="1" si="7"/>
        <v>✓ OK</v>
      </c>
    </row>
    <row r="227" spans="1:19" ht="15.75" customHeight="1">
      <c r="A227" s="75">
        <v>231</v>
      </c>
      <c r="B227" s="76" t="s">
        <v>915</v>
      </c>
      <c r="C227" s="77" t="s">
        <v>914</v>
      </c>
      <c r="D227" s="77" t="s">
        <v>914</v>
      </c>
      <c r="E227" s="78" t="s">
        <v>6</v>
      </c>
      <c r="F227" s="77" t="s">
        <v>53</v>
      </c>
      <c r="G227" s="79" t="s">
        <v>129</v>
      </c>
      <c r="H227" s="78"/>
      <c r="I227" s="78"/>
      <c r="J227" s="78" t="s">
        <v>913</v>
      </c>
      <c r="K227" s="81" t="s">
        <v>2</v>
      </c>
      <c r="L227" s="82">
        <f>IFERROR(VLOOKUP($B227,[1]Sheet2!$A:$L,11,FALSE()),"")</f>
        <v>45996</v>
      </c>
      <c r="M227" s="83">
        <v>46386</v>
      </c>
      <c r="N227" s="84">
        <v>46386</v>
      </c>
      <c r="O227" s="78" t="s">
        <v>1</v>
      </c>
      <c r="P227" s="78"/>
      <c r="Q227" s="78" t="str">
        <f>IFERROR(VLOOKUP($B227,[1]Sheet2!$A:$L,12,FALSE()),"")</f>
        <v>Dubai</v>
      </c>
      <c r="R227" s="85">
        <f t="shared" ca="1" si="6"/>
        <v>139</v>
      </c>
      <c r="S227" s="86" t="str">
        <f t="shared" ca="1" si="7"/>
        <v>✓ OK</v>
      </c>
    </row>
    <row r="228" spans="1:19" ht="15.75" customHeight="1">
      <c r="A228" s="75">
        <v>232</v>
      </c>
      <c r="B228" s="76" t="s">
        <v>912</v>
      </c>
      <c r="C228" s="77" t="s">
        <v>911</v>
      </c>
      <c r="D228" s="77" t="s">
        <v>476</v>
      </c>
      <c r="E228" s="78" t="s">
        <v>6</v>
      </c>
      <c r="F228" s="77" t="s">
        <v>53</v>
      </c>
      <c r="G228" s="79" t="s">
        <v>788</v>
      </c>
      <c r="H228" s="78"/>
      <c r="I228" s="78"/>
      <c r="J228" s="78" t="s">
        <v>796</v>
      </c>
      <c r="K228" s="88" t="s">
        <v>42</v>
      </c>
      <c r="L228" s="82" t="str">
        <f>IFERROR(VLOOKUP($B228,[1]Sheet2!$A:$L,11,FALSE()),"")</f>
        <v/>
      </c>
      <c r="M228" s="90">
        <v>44980</v>
      </c>
      <c r="N228" s="78" t="s">
        <v>133</v>
      </c>
      <c r="O228" s="78" t="s">
        <v>41</v>
      </c>
      <c r="P228" s="78"/>
      <c r="Q228" s="78" t="str">
        <f>IFERROR(VLOOKUP($B228,[1]Sheet2!$A:$L,12,FALSE()),"")</f>
        <v/>
      </c>
      <c r="R228" s="85">
        <f t="shared" ca="1" si="6"/>
        <v>-1267</v>
      </c>
      <c r="S228" s="86" t="str">
        <f t="shared" ca="1" si="7"/>
        <v>EXPIRED</v>
      </c>
    </row>
    <row r="229" spans="1:19" ht="15.75" customHeight="1">
      <c r="A229" s="75">
        <v>233</v>
      </c>
      <c r="B229" s="76" t="s">
        <v>910</v>
      </c>
      <c r="C229" s="77" t="s">
        <v>909</v>
      </c>
      <c r="D229" s="77" t="s">
        <v>476</v>
      </c>
      <c r="E229" s="78" t="s">
        <v>6</v>
      </c>
      <c r="F229" s="77" t="s">
        <v>53</v>
      </c>
      <c r="G229" s="79" t="s">
        <v>78</v>
      </c>
      <c r="H229" s="78"/>
      <c r="I229" s="78"/>
      <c r="J229" s="78" t="s">
        <v>796</v>
      </c>
      <c r="K229" s="81" t="s">
        <v>2</v>
      </c>
      <c r="L229" s="82">
        <f>IFERROR(VLOOKUP($B229,[1]Sheet2!$A:$L,11,FALSE()),"")</f>
        <v>45994</v>
      </c>
      <c r="M229" s="83">
        <v>46386</v>
      </c>
      <c r="N229" s="84">
        <v>46386</v>
      </c>
      <c r="O229" s="78" t="s">
        <v>1</v>
      </c>
      <c r="P229" s="78"/>
      <c r="Q229" s="78" t="str">
        <f>IFERROR(VLOOKUP($B229,[1]Sheet2!$A:$L,12,FALSE()),"")</f>
        <v>Dubai</v>
      </c>
      <c r="R229" s="85">
        <f t="shared" ca="1" si="6"/>
        <v>139</v>
      </c>
      <c r="S229" s="86" t="str">
        <f t="shared" ca="1" si="7"/>
        <v>✓ OK</v>
      </c>
    </row>
    <row r="230" spans="1:19" ht="15.75" customHeight="1">
      <c r="A230" s="75">
        <v>234</v>
      </c>
      <c r="B230" s="76" t="s">
        <v>908</v>
      </c>
      <c r="C230" s="77" t="s">
        <v>907</v>
      </c>
      <c r="D230" s="77" t="s">
        <v>476</v>
      </c>
      <c r="E230" s="78" t="s">
        <v>6</v>
      </c>
      <c r="F230" s="77" t="s">
        <v>53</v>
      </c>
      <c r="G230" s="79" t="s">
        <v>788</v>
      </c>
      <c r="H230" s="78"/>
      <c r="I230" s="78"/>
      <c r="J230" s="78" t="s">
        <v>796</v>
      </c>
      <c r="K230" s="88" t="s">
        <v>42</v>
      </c>
      <c r="L230" s="82" t="str">
        <f>IFERROR(VLOOKUP($B230,[1]Sheet2!$A:$L,11,FALSE()),"")</f>
        <v/>
      </c>
      <c r="M230" s="90">
        <v>45671</v>
      </c>
      <c r="N230" s="78" t="s">
        <v>133</v>
      </c>
      <c r="O230" s="78" t="s">
        <v>41</v>
      </c>
      <c r="P230" s="78"/>
      <c r="Q230" s="78" t="str">
        <f>IFERROR(VLOOKUP($B230,[1]Sheet2!$A:$L,12,FALSE()),"")</f>
        <v/>
      </c>
      <c r="R230" s="85">
        <f t="shared" ca="1" si="6"/>
        <v>-576</v>
      </c>
      <c r="S230" s="86" t="str">
        <f t="shared" ca="1" si="7"/>
        <v>EXPIRED</v>
      </c>
    </row>
    <row r="231" spans="1:19" ht="15.75" customHeight="1">
      <c r="A231" s="75">
        <v>235</v>
      </c>
      <c r="B231" s="76" t="s">
        <v>906</v>
      </c>
      <c r="C231" s="77" t="s">
        <v>905</v>
      </c>
      <c r="D231" s="77" t="s">
        <v>476</v>
      </c>
      <c r="E231" s="78" t="s">
        <v>6</v>
      </c>
      <c r="F231" s="77" t="s">
        <v>53</v>
      </c>
      <c r="G231" s="79" t="s">
        <v>788</v>
      </c>
      <c r="H231" s="78"/>
      <c r="I231" s="78"/>
      <c r="J231" s="78" t="s">
        <v>796</v>
      </c>
      <c r="K231" s="81" t="s">
        <v>2</v>
      </c>
      <c r="L231" s="82">
        <f>IFERROR(VLOOKUP($B231,[1]Sheet2!$A:$L,11,FALSE()),"")</f>
        <v>45998</v>
      </c>
      <c r="M231" s="83">
        <v>46386</v>
      </c>
      <c r="N231" s="84">
        <v>46386</v>
      </c>
      <c r="O231" s="78" t="s">
        <v>1</v>
      </c>
      <c r="P231" s="78"/>
      <c r="Q231" s="78" t="str">
        <f>IFERROR(VLOOKUP($B231,[1]Sheet2!$A:$L,12,FALSE()),"")</f>
        <v>Dubai</v>
      </c>
      <c r="R231" s="85">
        <f t="shared" ca="1" si="6"/>
        <v>139</v>
      </c>
      <c r="S231" s="86" t="str">
        <f t="shared" ca="1" si="7"/>
        <v>✓ OK</v>
      </c>
    </row>
    <row r="232" spans="1:19" ht="15.75" customHeight="1">
      <c r="A232" s="75">
        <v>236</v>
      </c>
      <c r="B232" s="76" t="s">
        <v>904</v>
      </c>
      <c r="C232" s="77" t="s">
        <v>903</v>
      </c>
      <c r="D232" s="77" t="s">
        <v>476</v>
      </c>
      <c r="E232" s="78" t="s">
        <v>6</v>
      </c>
      <c r="F232" s="77" t="s">
        <v>53</v>
      </c>
      <c r="G232" s="79" t="s">
        <v>129</v>
      </c>
      <c r="H232" s="78"/>
      <c r="I232" s="78"/>
      <c r="J232" s="78" t="s">
        <v>796</v>
      </c>
      <c r="K232" s="81" t="s">
        <v>2</v>
      </c>
      <c r="L232" s="82">
        <f>IFERROR(VLOOKUP($B232,[1]Sheet2!$A:$L,11,FALSE()),"")</f>
        <v>45987</v>
      </c>
      <c r="M232" s="83">
        <v>46386</v>
      </c>
      <c r="N232" s="84">
        <v>46386</v>
      </c>
      <c r="O232" s="78" t="s">
        <v>1</v>
      </c>
      <c r="P232" s="78"/>
      <c r="Q232" s="78" t="str">
        <f>IFERROR(VLOOKUP($B232,[1]Sheet2!$A:$L,12,FALSE()),"")</f>
        <v>Dubai</v>
      </c>
      <c r="R232" s="85">
        <f t="shared" ca="1" si="6"/>
        <v>139</v>
      </c>
      <c r="S232" s="86" t="str">
        <f t="shared" ca="1" si="7"/>
        <v>✓ OK</v>
      </c>
    </row>
    <row r="233" spans="1:19" ht="15.75" customHeight="1">
      <c r="A233" s="75">
        <v>237</v>
      </c>
      <c r="B233" s="76" t="s">
        <v>902</v>
      </c>
      <c r="C233" s="77" t="s">
        <v>901</v>
      </c>
      <c r="D233" s="77" t="s">
        <v>476</v>
      </c>
      <c r="E233" s="78" t="s">
        <v>6</v>
      </c>
      <c r="F233" s="77" t="s">
        <v>53</v>
      </c>
      <c r="G233" s="79" t="s">
        <v>788</v>
      </c>
      <c r="H233" s="78"/>
      <c r="I233" s="78"/>
      <c r="J233" s="78" t="s">
        <v>796</v>
      </c>
      <c r="K233" s="81" t="s">
        <v>2</v>
      </c>
      <c r="L233" s="82">
        <f>IFERROR(VLOOKUP($B233,[1]Sheet2!$A:$L,11,FALSE()),"")</f>
        <v>45998</v>
      </c>
      <c r="M233" s="83">
        <v>46386</v>
      </c>
      <c r="N233" s="84">
        <v>46386</v>
      </c>
      <c r="O233" s="78" t="s">
        <v>1</v>
      </c>
      <c r="P233" s="78"/>
      <c r="Q233" s="78" t="str">
        <f>IFERROR(VLOOKUP($B233,[1]Sheet2!$A:$L,12,FALSE()),"")</f>
        <v>Dubai</v>
      </c>
      <c r="R233" s="85">
        <f t="shared" ca="1" si="6"/>
        <v>139</v>
      </c>
      <c r="S233" s="86" t="str">
        <f t="shared" ca="1" si="7"/>
        <v>✓ OK</v>
      </c>
    </row>
    <row r="234" spans="1:19" ht="15.75" customHeight="1">
      <c r="A234" s="75">
        <v>238</v>
      </c>
      <c r="B234" s="76" t="s">
        <v>900</v>
      </c>
      <c r="C234" s="77" t="s">
        <v>899</v>
      </c>
      <c r="D234" s="77" t="s">
        <v>476</v>
      </c>
      <c r="E234" s="78" t="s">
        <v>6</v>
      </c>
      <c r="F234" s="77" t="s">
        <v>53</v>
      </c>
      <c r="G234" s="79" t="s">
        <v>788</v>
      </c>
      <c r="H234" s="78"/>
      <c r="I234" s="78"/>
      <c r="J234" s="78" t="s">
        <v>796</v>
      </c>
      <c r="K234" s="88" t="s">
        <v>42</v>
      </c>
      <c r="L234" s="82" t="str">
        <f>IFERROR(VLOOKUP($B234,[1]Sheet2!$A:$L,11,FALSE()),"")</f>
        <v/>
      </c>
      <c r="M234" s="90">
        <v>46021</v>
      </c>
      <c r="N234" s="78" t="s">
        <v>133</v>
      </c>
      <c r="O234" s="78" t="s">
        <v>41</v>
      </c>
      <c r="P234" s="78"/>
      <c r="Q234" s="78" t="str">
        <f>IFERROR(VLOOKUP($B234,[1]Sheet2!$A:$L,12,FALSE()),"")</f>
        <v/>
      </c>
      <c r="R234" s="85">
        <f t="shared" ca="1" si="6"/>
        <v>-226</v>
      </c>
      <c r="S234" s="86" t="str">
        <f t="shared" ca="1" si="7"/>
        <v>EXPIRED</v>
      </c>
    </row>
    <row r="235" spans="1:19" ht="15.75" customHeight="1">
      <c r="A235" s="75">
        <v>239</v>
      </c>
      <c r="B235" s="76" t="s">
        <v>898</v>
      </c>
      <c r="C235" s="77" t="s">
        <v>897</v>
      </c>
      <c r="D235" s="77" t="s">
        <v>797</v>
      </c>
      <c r="E235" s="78" t="s">
        <v>6</v>
      </c>
      <c r="F235" s="77" t="s">
        <v>53</v>
      </c>
      <c r="G235" s="79" t="s">
        <v>788</v>
      </c>
      <c r="H235" s="78"/>
      <c r="I235" s="78"/>
      <c r="J235" s="78" t="s">
        <v>796</v>
      </c>
      <c r="K235" s="88" t="s">
        <v>42</v>
      </c>
      <c r="L235" s="82" t="str">
        <f>IFERROR(VLOOKUP($B235,[1]Sheet2!$A:$L,11,FALSE()),"")</f>
        <v/>
      </c>
      <c r="M235" s="90">
        <v>44925</v>
      </c>
      <c r="N235" s="78" t="s">
        <v>133</v>
      </c>
      <c r="O235" s="78" t="s">
        <v>41</v>
      </c>
      <c r="P235" s="78"/>
      <c r="Q235" s="78" t="str">
        <f>IFERROR(VLOOKUP($B235,[1]Sheet2!$A:$L,12,FALSE()),"")</f>
        <v/>
      </c>
      <c r="R235" s="85">
        <f t="shared" ca="1" si="6"/>
        <v>-1322</v>
      </c>
      <c r="S235" s="86" t="str">
        <f t="shared" ca="1" si="7"/>
        <v>EXPIRED</v>
      </c>
    </row>
    <row r="236" spans="1:19" ht="15.75" customHeight="1">
      <c r="A236" s="75">
        <v>240</v>
      </c>
      <c r="B236" s="76" t="s">
        <v>896</v>
      </c>
      <c r="C236" s="77" t="s">
        <v>895</v>
      </c>
      <c r="D236" s="77" t="s">
        <v>797</v>
      </c>
      <c r="E236" s="78" t="s">
        <v>6</v>
      </c>
      <c r="F236" s="77" t="s">
        <v>53</v>
      </c>
      <c r="G236" s="79" t="s">
        <v>788</v>
      </c>
      <c r="H236" s="78"/>
      <c r="I236" s="78"/>
      <c r="J236" s="78" t="s">
        <v>796</v>
      </c>
      <c r="K236" s="81" t="s">
        <v>2</v>
      </c>
      <c r="L236" s="82">
        <f>IFERROR(VLOOKUP($B236,[1]Sheet2!$A:$L,11,FALSE()),"")</f>
        <v>45998</v>
      </c>
      <c r="M236" s="83">
        <v>46386</v>
      </c>
      <c r="N236" s="84">
        <v>46386</v>
      </c>
      <c r="O236" s="78" t="s">
        <v>1</v>
      </c>
      <c r="P236" s="78"/>
      <c r="Q236" s="78" t="str">
        <f>IFERROR(VLOOKUP($B236,[1]Sheet2!$A:$L,12,FALSE()),"")</f>
        <v>Dubai</v>
      </c>
      <c r="R236" s="85">
        <f t="shared" ca="1" si="6"/>
        <v>139</v>
      </c>
      <c r="S236" s="86" t="str">
        <f t="shared" ca="1" si="7"/>
        <v>✓ OK</v>
      </c>
    </row>
    <row r="237" spans="1:19" ht="15.75" customHeight="1">
      <c r="A237" s="75">
        <v>241</v>
      </c>
      <c r="B237" s="76" t="s">
        <v>894</v>
      </c>
      <c r="C237" s="77" t="s">
        <v>893</v>
      </c>
      <c r="D237" s="77" t="s">
        <v>797</v>
      </c>
      <c r="E237" s="78" t="s">
        <v>6</v>
      </c>
      <c r="F237" s="77" t="s">
        <v>53</v>
      </c>
      <c r="G237" s="79" t="s">
        <v>788</v>
      </c>
      <c r="H237" s="78"/>
      <c r="I237" s="78"/>
      <c r="J237" s="78" t="s">
        <v>796</v>
      </c>
      <c r="K237" s="81" t="s">
        <v>2</v>
      </c>
      <c r="L237" s="82">
        <f>IFERROR(VLOOKUP($B237,[1]Sheet2!$A:$L,11,FALSE()),"")</f>
        <v>45998</v>
      </c>
      <c r="M237" s="83">
        <v>46386</v>
      </c>
      <c r="N237" s="84">
        <v>46386</v>
      </c>
      <c r="O237" s="78" t="s">
        <v>1</v>
      </c>
      <c r="P237" s="78"/>
      <c r="Q237" s="78" t="str">
        <f>IFERROR(VLOOKUP($B237,[1]Sheet2!$A:$L,12,FALSE()),"")</f>
        <v>Dubai</v>
      </c>
      <c r="R237" s="85">
        <f t="shared" ca="1" si="6"/>
        <v>139</v>
      </c>
      <c r="S237" s="86" t="str">
        <f t="shared" ca="1" si="7"/>
        <v>✓ OK</v>
      </c>
    </row>
    <row r="238" spans="1:19" ht="15.75" customHeight="1">
      <c r="A238" s="75">
        <v>242</v>
      </c>
      <c r="B238" s="76" t="s">
        <v>892</v>
      </c>
      <c r="C238" s="77" t="s">
        <v>891</v>
      </c>
      <c r="D238" s="77" t="s">
        <v>797</v>
      </c>
      <c r="E238" s="78" t="s">
        <v>6</v>
      </c>
      <c r="F238" s="77" t="s">
        <v>53</v>
      </c>
      <c r="G238" s="79" t="s">
        <v>788</v>
      </c>
      <c r="H238" s="78"/>
      <c r="I238" s="78"/>
      <c r="J238" s="78" t="s">
        <v>796</v>
      </c>
      <c r="K238" s="88" t="s">
        <v>42</v>
      </c>
      <c r="L238" s="82" t="str">
        <f>IFERROR(VLOOKUP($B238,[1]Sheet2!$A:$L,11,FALSE()),"")</f>
        <v/>
      </c>
      <c r="M238" s="90">
        <v>46021</v>
      </c>
      <c r="N238" s="78" t="s">
        <v>133</v>
      </c>
      <c r="O238" s="78" t="s">
        <v>41</v>
      </c>
      <c r="P238" s="78"/>
      <c r="Q238" s="78" t="str">
        <f>IFERROR(VLOOKUP($B238,[1]Sheet2!$A:$L,12,FALSE()),"")</f>
        <v/>
      </c>
      <c r="R238" s="85">
        <f t="shared" ca="1" si="6"/>
        <v>-226</v>
      </c>
      <c r="S238" s="86" t="str">
        <f t="shared" ca="1" si="7"/>
        <v>EXPIRED</v>
      </c>
    </row>
    <row r="239" spans="1:19" ht="15.75" customHeight="1">
      <c r="A239" s="75">
        <v>243</v>
      </c>
      <c r="B239" s="76" t="s">
        <v>890</v>
      </c>
      <c r="C239" s="77" t="s">
        <v>889</v>
      </c>
      <c r="D239" s="77" t="s">
        <v>865</v>
      </c>
      <c r="E239" s="78" t="s">
        <v>6</v>
      </c>
      <c r="F239" s="77" t="s">
        <v>53</v>
      </c>
      <c r="G239" s="79" t="s">
        <v>788</v>
      </c>
      <c r="H239" s="78"/>
      <c r="I239" s="78"/>
      <c r="J239" s="78" t="s">
        <v>796</v>
      </c>
      <c r="K239" s="88" t="s">
        <v>42</v>
      </c>
      <c r="L239" s="82" t="str">
        <f>IFERROR(VLOOKUP($B239,[1]Sheet2!$A:$L,11,FALSE()),"")</f>
        <v/>
      </c>
      <c r="M239" s="90">
        <v>46021</v>
      </c>
      <c r="N239" s="78" t="s">
        <v>133</v>
      </c>
      <c r="O239" s="78" t="s">
        <v>864</v>
      </c>
      <c r="P239" s="78"/>
      <c r="Q239" s="78" t="str">
        <f>IFERROR(VLOOKUP($B239,[1]Sheet2!$A:$L,12,FALSE()),"")</f>
        <v/>
      </c>
      <c r="R239" s="85">
        <f t="shared" ca="1" si="6"/>
        <v>-226</v>
      </c>
      <c r="S239" s="86" t="str">
        <f t="shared" ca="1" si="7"/>
        <v>EXPIRED</v>
      </c>
    </row>
    <row r="240" spans="1:19" ht="15.75" customHeight="1">
      <c r="A240" s="75">
        <v>244</v>
      </c>
      <c r="B240" s="76" t="s">
        <v>888</v>
      </c>
      <c r="C240" s="77" t="s">
        <v>887</v>
      </c>
      <c r="D240" s="77" t="s">
        <v>865</v>
      </c>
      <c r="E240" s="78" t="s">
        <v>6</v>
      </c>
      <c r="F240" s="77" t="s">
        <v>53</v>
      </c>
      <c r="G240" s="79" t="s">
        <v>788</v>
      </c>
      <c r="H240" s="78"/>
      <c r="I240" s="78"/>
      <c r="J240" s="78" t="s">
        <v>796</v>
      </c>
      <c r="K240" s="88" t="s">
        <v>42</v>
      </c>
      <c r="L240" s="82" t="str">
        <f>IFERROR(VLOOKUP($B240,[1]Sheet2!$A:$L,11,FALSE()),"")</f>
        <v/>
      </c>
      <c r="M240" s="90">
        <v>46021</v>
      </c>
      <c r="N240" s="78" t="s">
        <v>133</v>
      </c>
      <c r="O240" s="78" t="s">
        <v>864</v>
      </c>
      <c r="P240" s="78"/>
      <c r="Q240" s="78" t="str">
        <f>IFERROR(VLOOKUP($B240,[1]Sheet2!$A:$L,12,FALSE()),"")</f>
        <v/>
      </c>
      <c r="R240" s="85">
        <f t="shared" ca="1" si="6"/>
        <v>-226</v>
      </c>
      <c r="S240" s="86" t="str">
        <f t="shared" ca="1" si="7"/>
        <v>EXPIRED</v>
      </c>
    </row>
    <row r="241" spans="1:19" ht="15.75" customHeight="1">
      <c r="A241" s="75">
        <v>245</v>
      </c>
      <c r="B241" s="76" t="s">
        <v>886</v>
      </c>
      <c r="C241" s="77" t="s">
        <v>885</v>
      </c>
      <c r="D241" s="77" t="s">
        <v>865</v>
      </c>
      <c r="E241" s="78" t="s">
        <v>6</v>
      </c>
      <c r="F241" s="77" t="s">
        <v>53</v>
      </c>
      <c r="G241" s="79" t="s">
        <v>788</v>
      </c>
      <c r="H241" s="78"/>
      <c r="I241" s="78"/>
      <c r="J241" s="78" t="s">
        <v>796</v>
      </c>
      <c r="K241" s="88" t="s">
        <v>42</v>
      </c>
      <c r="L241" s="82" t="str">
        <f>IFERROR(VLOOKUP($B241,[1]Sheet2!$A:$L,11,FALSE()),"")</f>
        <v/>
      </c>
      <c r="M241" s="90">
        <v>46021</v>
      </c>
      <c r="N241" s="78" t="s">
        <v>133</v>
      </c>
      <c r="O241" s="78" t="s">
        <v>864</v>
      </c>
      <c r="P241" s="78"/>
      <c r="Q241" s="78" t="str">
        <f>IFERROR(VLOOKUP($B241,[1]Sheet2!$A:$L,12,FALSE()),"")</f>
        <v/>
      </c>
      <c r="R241" s="85">
        <f t="shared" ca="1" si="6"/>
        <v>-226</v>
      </c>
      <c r="S241" s="86" t="str">
        <f t="shared" ca="1" si="7"/>
        <v>EXPIRED</v>
      </c>
    </row>
    <row r="242" spans="1:19" ht="15.75" customHeight="1">
      <c r="A242" s="75">
        <v>246</v>
      </c>
      <c r="B242" s="76" t="s">
        <v>884</v>
      </c>
      <c r="C242" s="77" t="s">
        <v>883</v>
      </c>
      <c r="D242" s="77" t="s">
        <v>797</v>
      </c>
      <c r="E242" s="78" t="s">
        <v>6</v>
      </c>
      <c r="F242" s="77" t="s">
        <v>53</v>
      </c>
      <c r="G242" s="79" t="s">
        <v>78</v>
      </c>
      <c r="H242" s="78"/>
      <c r="I242" s="78"/>
      <c r="J242" s="78" t="s">
        <v>796</v>
      </c>
      <c r="K242" s="81" t="s">
        <v>2</v>
      </c>
      <c r="L242" s="82" t="s">
        <v>882</v>
      </c>
      <c r="M242" s="83">
        <v>46386</v>
      </c>
      <c r="N242" s="84">
        <v>46386</v>
      </c>
      <c r="O242" s="78" t="s">
        <v>1</v>
      </c>
      <c r="P242" s="78"/>
      <c r="Q242" s="78" t="str">
        <f>IFERROR(VLOOKUP($B242,[1]Sheet2!$A:$L,12,FALSE()),"")</f>
        <v>Dubai</v>
      </c>
      <c r="R242" s="85">
        <f t="shared" ca="1" si="6"/>
        <v>139</v>
      </c>
      <c r="S242" s="86" t="str">
        <f t="shared" ca="1" si="7"/>
        <v>✓ OK</v>
      </c>
    </row>
    <row r="243" spans="1:19" ht="15.75" customHeight="1">
      <c r="A243" s="75">
        <v>247</v>
      </c>
      <c r="B243" s="76" t="s">
        <v>881</v>
      </c>
      <c r="C243" s="77" t="s">
        <v>880</v>
      </c>
      <c r="D243" s="77" t="s">
        <v>865</v>
      </c>
      <c r="E243" s="78" t="s">
        <v>6</v>
      </c>
      <c r="F243" s="77" t="s">
        <v>53</v>
      </c>
      <c r="G243" s="79" t="s">
        <v>78</v>
      </c>
      <c r="H243" s="78"/>
      <c r="I243" s="78"/>
      <c r="J243" s="78" t="s">
        <v>796</v>
      </c>
      <c r="K243" s="88" t="s">
        <v>42</v>
      </c>
      <c r="L243" s="82" t="str">
        <f>IFERROR(VLOOKUP($B243,[1]Sheet2!$A:$L,11,FALSE()),"")</f>
        <v/>
      </c>
      <c r="M243" s="90">
        <v>46021</v>
      </c>
      <c r="N243" s="78" t="s">
        <v>133</v>
      </c>
      <c r="O243" s="78" t="s">
        <v>864</v>
      </c>
      <c r="P243" s="78"/>
      <c r="Q243" s="78" t="str">
        <f>IFERROR(VLOOKUP($B243,[1]Sheet2!$A:$L,12,FALSE()),"")</f>
        <v/>
      </c>
      <c r="R243" s="85">
        <f t="shared" ca="1" si="6"/>
        <v>-226</v>
      </c>
      <c r="S243" s="86" t="str">
        <f t="shared" ca="1" si="7"/>
        <v>EXPIRED</v>
      </c>
    </row>
    <row r="244" spans="1:19" ht="15.75" customHeight="1">
      <c r="A244" s="75">
        <v>248</v>
      </c>
      <c r="B244" s="76" t="s">
        <v>879</v>
      </c>
      <c r="C244" s="77" t="s">
        <v>878</v>
      </c>
      <c r="D244" s="77" t="s">
        <v>865</v>
      </c>
      <c r="E244" s="78" t="s">
        <v>6</v>
      </c>
      <c r="F244" s="77" t="s">
        <v>53</v>
      </c>
      <c r="G244" s="79" t="s">
        <v>78</v>
      </c>
      <c r="H244" s="78"/>
      <c r="I244" s="78"/>
      <c r="J244" s="78" t="s">
        <v>796</v>
      </c>
      <c r="K244" s="88" t="s">
        <v>42</v>
      </c>
      <c r="L244" s="82" t="str">
        <f>IFERROR(VLOOKUP($B244,[1]Sheet2!$A:$L,11,FALSE()),"")</f>
        <v/>
      </c>
      <c r="M244" s="90">
        <v>46021</v>
      </c>
      <c r="N244" s="78" t="s">
        <v>133</v>
      </c>
      <c r="O244" s="78" t="s">
        <v>864</v>
      </c>
      <c r="P244" s="78"/>
      <c r="Q244" s="78" t="str">
        <f>IFERROR(VLOOKUP($B244,[1]Sheet2!$A:$L,12,FALSE()),"")</f>
        <v/>
      </c>
      <c r="R244" s="85">
        <f t="shared" ca="1" si="6"/>
        <v>-226</v>
      </c>
      <c r="S244" s="86" t="str">
        <f t="shared" ca="1" si="7"/>
        <v>EXPIRED</v>
      </c>
    </row>
    <row r="245" spans="1:19" ht="15.75" customHeight="1">
      <c r="A245" s="75">
        <v>249</v>
      </c>
      <c r="B245" s="76" t="s">
        <v>877</v>
      </c>
      <c r="C245" s="77" t="s">
        <v>876</v>
      </c>
      <c r="D245" s="77" t="s">
        <v>865</v>
      </c>
      <c r="E245" s="78" t="s">
        <v>6</v>
      </c>
      <c r="F245" s="77" t="s">
        <v>53</v>
      </c>
      <c r="G245" s="79" t="s">
        <v>78</v>
      </c>
      <c r="H245" s="78"/>
      <c r="I245" s="78"/>
      <c r="J245" s="78" t="s">
        <v>796</v>
      </c>
      <c r="K245" s="88" t="s">
        <v>42</v>
      </c>
      <c r="L245" s="82" t="str">
        <f>IFERROR(VLOOKUP($B245,[1]Sheet2!$A:$L,11,FALSE()),"")</f>
        <v/>
      </c>
      <c r="M245" s="90">
        <v>46021</v>
      </c>
      <c r="N245" s="78" t="s">
        <v>133</v>
      </c>
      <c r="O245" s="78" t="s">
        <v>864</v>
      </c>
      <c r="P245" s="78"/>
      <c r="Q245" s="78" t="str">
        <f>IFERROR(VLOOKUP($B245,[1]Sheet2!$A:$L,12,FALSE()),"")</f>
        <v/>
      </c>
      <c r="R245" s="85">
        <f t="shared" ca="1" si="6"/>
        <v>-226</v>
      </c>
      <c r="S245" s="86" t="str">
        <f t="shared" ca="1" si="7"/>
        <v>EXPIRED</v>
      </c>
    </row>
    <row r="246" spans="1:19" ht="15.75" customHeight="1">
      <c r="A246" s="75">
        <v>250</v>
      </c>
      <c r="B246" s="76" t="s">
        <v>875</v>
      </c>
      <c r="C246" s="77" t="s">
        <v>874</v>
      </c>
      <c r="D246" s="77" t="s">
        <v>865</v>
      </c>
      <c r="E246" s="78" t="s">
        <v>6</v>
      </c>
      <c r="F246" s="77" t="s">
        <v>53</v>
      </c>
      <c r="G246" s="79" t="s">
        <v>78</v>
      </c>
      <c r="H246" s="78"/>
      <c r="I246" s="78"/>
      <c r="J246" s="78" t="s">
        <v>787</v>
      </c>
      <c r="K246" s="88" t="s">
        <v>42</v>
      </c>
      <c r="L246" s="82" t="str">
        <f>IFERROR(VLOOKUP($B246,[1]Sheet2!$A:$L,11,FALSE()),"")</f>
        <v/>
      </c>
      <c r="M246" s="90">
        <v>46021</v>
      </c>
      <c r="N246" s="78" t="s">
        <v>133</v>
      </c>
      <c r="O246" s="78" t="s">
        <v>864</v>
      </c>
      <c r="P246" s="78"/>
      <c r="Q246" s="78" t="str">
        <f>IFERROR(VLOOKUP($B246,[1]Sheet2!$A:$L,12,FALSE()),"")</f>
        <v/>
      </c>
      <c r="R246" s="85">
        <f t="shared" ca="1" si="6"/>
        <v>-226</v>
      </c>
      <c r="S246" s="86" t="str">
        <f t="shared" ca="1" si="7"/>
        <v>EXPIRED</v>
      </c>
    </row>
    <row r="247" spans="1:19" ht="15.75" customHeight="1">
      <c r="A247" s="75">
        <v>251</v>
      </c>
      <c r="B247" s="76" t="s">
        <v>873</v>
      </c>
      <c r="C247" s="77" t="s">
        <v>872</v>
      </c>
      <c r="D247" s="77" t="s">
        <v>865</v>
      </c>
      <c r="E247" s="78" t="s">
        <v>6</v>
      </c>
      <c r="F247" s="77" t="s">
        <v>53</v>
      </c>
      <c r="G247" s="79" t="s">
        <v>78</v>
      </c>
      <c r="H247" s="78"/>
      <c r="I247" s="78"/>
      <c r="J247" s="78" t="s">
        <v>787</v>
      </c>
      <c r="K247" s="88" t="s">
        <v>42</v>
      </c>
      <c r="L247" s="82" t="str">
        <f>IFERROR(VLOOKUP($B247,[1]Sheet2!$A:$L,11,FALSE()),"")</f>
        <v/>
      </c>
      <c r="M247" s="90">
        <v>46021</v>
      </c>
      <c r="N247" s="78" t="s">
        <v>133</v>
      </c>
      <c r="O247" s="78" t="s">
        <v>864</v>
      </c>
      <c r="P247" s="78"/>
      <c r="Q247" s="78" t="str">
        <f>IFERROR(VLOOKUP($B247,[1]Sheet2!$A:$L,12,FALSE()),"")</f>
        <v/>
      </c>
      <c r="R247" s="85">
        <f t="shared" ca="1" si="6"/>
        <v>-226</v>
      </c>
      <c r="S247" s="86" t="str">
        <f t="shared" ca="1" si="7"/>
        <v>EXPIRED</v>
      </c>
    </row>
    <row r="248" spans="1:19" ht="15.75" customHeight="1">
      <c r="A248" s="75">
        <v>252</v>
      </c>
      <c r="B248" s="76" t="s">
        <v>871</v>
      </c>
      <c r="C248" s="77" t="s">
        <v>870</v>
      </c>
      <c r="D248" s="77" t="s">
        <v>865</v>
      </c>
      <c r="E248" s="78" t="s">
        <v>6</v>
      </c>
      <c r="F248" s="77" t="s">
        <v>53</v>
      </c>
      <c r="G248" s="79" t="s">
        <v>78</v>
      </c>
      <c r="H248" s="78"/>
      <c r="I248" s="78"/>
      <c r="J248" s="78" t="s">
        <v>787</v>
      </c>
      <c r="K248" s="88" t="s">
        <v>42</v>
      </c>
      <c r="L248" s="82" t="str">
        <f>IFERROR(VLOOKUP($B248,[1]Sheet2!$A:$L,11,FALSE()),"")</f>
        <v/>
      </c>
      <c r="M248" s="90">
        <v>46021</v>
      </c>
      <c r="N248" s="78" t="s">
        <v>133</v>
      </c>
      <c r="O248" s="78" t="s">
        <v>864</v>
      </c>
      <c r="P248" s="78"/>
      <c r="Q248" s="78" t="str">
        <f>IFERROR(VLOOKUP($B248,[1]Sheet2!$A:$L,12,FALSE()),"")</f>
        <v/>
      </c>
      <c r="R248" s="85">
        <f t="shared" ca="1" si="6"/>
        <v>-226</v>
      </c>
      <c r="S248" s="86" t="str">
        <f t="shared" ca="1" si="7"/>
        <v>EXPIRED</v>
      </c>
    </row>
    <row r="249" spans="1:19" ht="15.75" customHeight="1">
      <c r="A249" s="75">
        <v>253</v>
      </c>
      <c r="B249" s="76" t="s">
        <v>869</v>
      </c>
      <c r="C249" s="77" t="s">
        <v>868</v>
      </c>
      <c r="D249" s="77" t="s">
        <v>865</v>
      </c>
      <c r="E249" s="78" t="s">
        <v>6</v>
      </c>
      <c r="F249" s="77" t="s">
        <v>53</v>
      </c>
      <c r="G249" s="79" t="s">
        <v>78</v>
      </c>
      <c r="H249" s="78"/>
      <c r="I249" s="78"/>
      <c r="J249" s="78" t="s">
        <v>787</v>
      </c>
      <c r="K249" s="88" t="s">
        <v>42</v>
      </c>
      <c r="L249" s="82" t="str">
        <f>IFERROR(VLOOKUP($B249,[1]Sheet2!$A:$L,11,FALSE()),"")</f>
        <v/>
      </c>
      <c r="M249" s="90">
        <v>46021</v>
      </c>
      <c r="N249" s="78" t="s">
        <v>133</v>
      </c>
      <c r="O249" s="78" t="s">
        <v>864</v>
      </c>
      <c r="P249" s="78"/>
      <c r="Q249" s="78" t="str">
        <f>IFERROR(VLOOKUP($B249,[1]Sheet2!$A:$L,12,FALSE()),"")</f>
        <v/>
      </c>
      <c r="R249" s="85">
        <f t="shared" ca="1" si="6"/>
        <v>-226</v>
      </c>
      <c r="S249" s="86" t="str">
        <f t="shared" ca="1" si="7"/>
        <v>EXPIRED</v>
      </c>
    </row>
    <row r="250" spans="1:19" ht="15.75" customHeight="1">
      <c r="A250" s="75">
        <v>254</v>
      </c>
      <c r="B250" s="76" t="s">
        <v>867</v>
      </c>
      <c r="C250" s="77" t="s">
        <v>866</v>
      </c>
      <c r="D250" s="77" t="s">
        <v>865</v>
      </c>
      <c r="E250" s="78" t="s">
        <v>6</v>
      </c>
      <c r="F250" s="77" t="s">
        <v>53</v>
      </c>
      <c r="G250" s="79" t="s">
        <v>78</v>
      </c>
      <c r="H250" s="78"/>
      <c r="I250" s="78"/>
      <c r="J250" s="78" t="s">
        <v>787</v>
      </c>
      <c r="K250" s="88" t="s">
        <v>42</v>
      </c>
      <c r="L250" s="82" t="str">
        <f>IFERROR(VLOOKUP($B250,[1]Sheet2!$A:$L,11,FALSE()),"")</f>
        <v/>
      </c>
      <c r="M250" s="90">
        <v>46021</v>
      </c>
      <c r="N250" s="78" t="s">
        <v>133</v>
      </c>
      <c r="O250" s="78" t="s">
        <v>864</v>
      </c>
      <c r="P250" s="78"/>
      <c r="Q250" s="78" t="str">
        <f>IFERROR(VLOOKUP($B250,[1]Sheet2!$A:$L,12,FALSE()),"")</f>
        <v/>
      </c>
      <c r="R250" s="85">
        <f t="shared" ca="1" si="6"/>
        <v>-226</v>
      </c>
      <c r="S250" s="86" t="str">
        <f t="shared" ca="1" si="7"/>
        <v>EXPIRED</v>
      </c>
    </row>
    <row r="251" spans="1:19" ht="15.75" customHeight="1">
      <c r="A251" s="75">
        <v>255</v>
      </c>
      <c r="B251" s="76" t="s">
        <v>863</v>
      </c>
      <c r="C251" s="77" t="s">
        <v>862</v>
      </c>
      <c r="D251" s="77" t="s">
        <v>819</v>
      </c>
      <c r="E251" s="78" t="s">
        <v>6</v>
      </c>
      <c r="F251" s="77" t="s">
        <v>53</v>
      </c>
      <c r="G251" s="79" t="s">
        <v>788</v>
      </c>
      <c r="H251" s="78"/>
      <c r="I251" s="78"/>
      <c r="J251" s="78" t="s">
        <v>787</v>
      </c>
      <c r="K251" s="81" t="s">
        <v>2</v>
      </c>
      <c r="L251" s="82">
        <f>IFERROR(VLOOKUP($B251,[1]Sheet2!$A:$L,11,FALSE()),"")</f>
        <v>45995</v>
      </c>
      <c r="M251" s="83">
        <v>46496</v>
      </c>
      <c r="N251" s="84">
        <v>46386</v>
      </c>
      <c r="O251" s="78" t="s">
        <v>1</v>
      </c>
      <c r="P251" s="78"/>
      <c r="Q251" s="78" t="str">
        <f>IFERROR(VLOOKUP($B251,[1]Sheet2!$A:$L,12,FALSE()),"")</f>
        <v>Dubai</v>
      </c>
      <c r="R251" s="85">
        <f t="shared" ca="1" si="6"/>
        <v>249</v>
      </c>
      <c r="S251" s="86" t="str">
        <f t="shared" ca="1" si="7"/>
        <v>✓ OK</v>
      </c>
    </row>
    <row r="252" spans="1:19" ht="15.75" customHeight="1">
      <c r="A252" s="75">
        <v>256</v>
      </c>
      <c r="B252" s="76" t="s">
        <v>861</v>
      </c>
      <c r="C252" s="77" t="s">
        <v>860</v>
      </c>
      <c r="D252" s="77" t="s">
        <v>819</v>
      </c>
      <c r="E252" s="78" t="s">
        <v>6</v>
      </c>
      <c r="F252" s="77" t="s">
        <v>53</v>
      </c>
      <c r="G252" s="79" t="s">
        <v>788</v>
      </c>
      <c r="H252" s="78"/>
      <c r="I252" s="78"/>
      <c r="J252" s="78" t="s">
        <v>787</v>
      </c>
      <c r="K252" s="81" t="s">
        <v>2</v>
      </c>
      <c r="L252" s="82">
        <f>IFERROR(VLOOKUP($B252,[1]Sheet2!$A:$L,11,FALSE()),"")</f>
        <v>45996</v>
      </c>
      <c r="M252" s="83">
        <v>46496</v>
      </c>
      <c r="N252" s="84">
        <v>46386</v>
      </c>
      <c r="O252" s="78" t="s">
        <v>1</v>
      </c>
      <c r="P252" s="78"/>
      <c r="Q252" s="78" t="str">
        <f>IFERROR(VLOOKUP($B252,[1]Sheet2!$A:$L,12,FALSE()),"")</f>
        <v>Dubai</v>
      </c>
      <c r="R252" s="85">
        <f t="shared" ca="1" si="6"/>
        <v>249</v>
      </c>
      <c r="S252" s="86" t="str">
        <f t="shared" ca="1" si="7"/>
        <v>✓ OK</v>
      </c>
    </row>
    <row r="253" spans="1:19" ht="15.75" customHeight="1">
      <c r="A253" s="75">
        <v>257</v>
      </c>
      <c r="B253" s="76" t="s">
        <v>859</v>
      </c>
      <c r="C253" s="77" t="s">
        <v>858</v>
      </c>
      <c r="D253" s="77" t="s">
        <v>819</v>
      </c>
      <c r="E253" s="78" t="s">
        <v>6</v>
      </c>
      <c r="F253" s="77" t="s">
        <v>53</v>
      </c>
      <c r="G253" s="79" t="s">
        <v>788</v>
      </c>
      <c r="H253" s="78"/>
      <c r="I253" s="78"/>
      <c r="J253" s="78" t="s">
        <v>787</v>
      </c>
      <c r="K253" s="81" t="s">
        <v>2</v>
      </c>
      <c r="L253" s="82">
        <f>IFERROR(VLOOKUP($B253,[1]Sheet2!$A:$L,11,FALSE()),"")</f>
        <v>45996</v>
      </c>
      <c r="M253" s="83">
        <v>46496</v>
      </c>
      <c r="N253" s="84">
        <v>46386</v>
      </c>
      <c r="O253" s="78" t="s">
        <v>1</v>
      </c>
      <c r="P253" s="78"/>
      <c r="Q253" s="78" t="str">
        <f>IFERROR(VLOOKUP($B253,[1]Sheet2!$A:$L,12,FALSE()),"")</f>
        <v>Dubai</v>
      </c>
      <c r="R253" s="85">
        <f t="shared" ca="1" si="6"/>
        <v>249</v>
      </c>
      <c r="S253" s="86" t="str">
        <f t="shared" ca="1" si="7"/>
        <v>✓ OK</v>
      </c>
    </row>
    <row r="254" spans="1:19" ht="15.75" customHeight="1">
      <c r="A254" s="75">
        <v>258</v>
      </c>
      <c r="B254" s="76" t="s">
        <v>857</v>
      </c>
      <c r="C254" s="77" t="s">
        <v>856</v>
      </c>
      <c r="D254" s="77" t="s">
        <v>819</v>
      </c>
      <c r="E254" s="78" t="s">
        <v>6</v>
      </c>
      <c r="F254" s="77" t="s">
        <v>53</v>
      </c>
      <c r="G254" s="79" t="s">
        <v>788</v>
      </c>
      <c r="H254" s="78"/>
      <c r="I254" s="78"/>
      <c r="J254" s="78" t="s">
        <v>787</v>
      </c>
      <c r="K254" s="81" t="s">
        <v>2</v>
      </c>
      <c r="L254" s="82">
        <f>IFERROR(VLOOKUP($B254,[1]Sheet2!$A:$L,11,FALSE()),"")</f>
        <v>45994</v>
      </c>
      <c r="M254" s="83">
        <v>46496</v>
      </c>
      <c r="N254" s="84">
        <v>46386</v>
      </c>
      <c r="O254" s="78" t="s">
        <v>1</v>
      </c>
      <c r="P254" s="78"/>
      <c r="Q254" s="78" t="str">
        <f>IFERROR(VLOOKUP($B254,[1]Sheet2!$A:$L,12,FALSE()),"")</f>
        <v>Dubai</v>
      </c>
      <c r="R254" s="85">
        <f t="shared" ca="1" si="6"/>
        <v>249</v>
      </c>
      <c r="S254" s="86" t="str">
        <f t="shared" ca="1" si="7"/>
        <v>✓ OK</v>
      </c>
    </row>
    <row r="255" spans="1:19" ht="15.75" customHeight="1">
      <c r="A255" s="75">
        <v>259</v>
      </c>
      <c r="B255" s="76" t="s">
        <v>855</v>
      </c>
      <c r="C255" s="77" t="s">
        <v>854</v>
      </c>
      <c r="D255" s="77" t="s">
        <v>819</v>
      </c>
      <c r="E255" s="78" t="s">
        <v>6</v>
      </c>
      <c r="F255" s="77" t="s">
        <v>53</v>
      </c>
      <c r="G255" s="79" t="s">
        <v>788</v>
      </c>
      <c r="H255" s="78"/>
      <c r="I255" s="78"/>
      <c r="J255" s="78" t="s">
        <v>787</v>
      </c>
      <c r="K255" s="81" t="s">
        <v>2</v>
      </c>
      <c r="L255" s="82">
        <f>IFERROR(VLOOKUP($B255,[1]Sheet2!$A:$L,11,FALSE()),"")</f>
        <v>45996</v>
      </c>
      <c r="M255" s="83">
        <v>46496</v>
      </c>
      <c r="N255" s="84">
        <v>46386</v>
      </c>
      <c r="O255" s="78" t="s">
        <v>1</v>
      </c>
      <c r="P255" s="78"/>
      <c r="Q255" s="78" t="str">
        <f>IFERROR(VLOOKUP($B255,[1]Sheet2!$A:$L,12,FALSE()),"")</f>
        <v>Dubai</v>
      </c>
      <c r="R255" s="85">
        <f t="shared" ca="1" si="6"/>
        <v>249</v>
      </c>
      <c r="S255" s="86" t="str">
        <f t="shared" ca="1" si="7"/>
        <v>✓ OK</v>
      </c>
    </row>
    <row r="256" spans="1:19" ht="15.75" customHeight="1">
      <c r="A256" s="75">
        <v>260</v>
      </c>
      <c r="B256" s="76" t="s">
        <v>853</v>
      </c>
      <c r="C256" s="77" t="s">
        <v>852</v>
      </c>
      <c r="D256" s="77" t="s">
        <v>819</v>
      </c>
      <c r="E256" s="78" t="s">
        <v>6</v>
      </c>
      <c r="F256" s="77" t="s">
        <v>53</v>
      </c>
      <c r="G256" s="79" t="s">
        <v>788</v>
      </c>
      <c r="H256" s="78"/>
      <c r="I256" s="78"/>
      <c r="J256" s="78" t="s">
        <v>787</v>
      </c>
      <c r="K256" s="81" t="s">
        <v>2</v>
      </c>
      <c r="L256" s="82">
        <f>IFERROR(VLOOKUP($B256,[1]Sheet2!$A:$L,11,FALSE()),"")</f>
        <v>45996</v>
      </c>
      <c r="M256" s="83">
        <v>46496</v>
      </c>
      <c r="N256" s="84">
        <v>46386</v>
      </c>
      <c r="O256" s="78" t="s">
        <v>1</v>
      </c>
      <c r="P256" s="78"/>
      <c r="Q256" s="78" t="str">
        <f>IFERROR(VLOOKUP($B256,[1]Sheet2!$A:$L,12,FALSE()),"")</f>
        <v>Dubai</v>
      </c>
      <c r="R256" s="85">
        <f t="shared" ca="1" si="6"/>
        <v>249</v>
      </c>
      <c r="S256" s="86" t="str">
        <f t="shared" ca="1" si="7"/>
        <v>✓ OK</v>
      </c>
    </row>
    <row r="257" spans="1:19" ht="15.75" customHeight="1">
      <c r="A257" s="75">
        <v>261</v>
      </c>
      <c r="B257" s="76" t="s">
        <v>851</v>
      </c>
      <c r="C257" s="77" t="s">
        <v>850</v>
      </c>
      <c r="D257" s="77" t="s">
        <v>819</v>
      </c>
      <c r="E257" s="78" t="s">
        <v>6</v>
      </c>
      <c r="F257" s="77" t="s">
        <v>53</v>
      </c>
      <c r="G257" s="79" t="s">
        <v>788</v>
      </c>
      <c r="H257" s="78"/>
      <c r="I257" s="78"/>
      <c r="J257" s="78" t="s">
        <v>787</v>
      </c>
      <c r="K257" s="81" t="s">
        <v>2</v>
      </c>
      <c r="L257" s="82">
        <f>IFERROR(VLOOKUP($B257,[1]Sheet2!$A:$L,11,FALSE()),"")</f>
        <v>45996</v>
      </c>
      <c r="M257" s="83">
        <v>46496</v>
      </c>
      <c r="N257" s="84">
        <v>46386</v>
      </c>
      <c r="O257" s="78" t="s">
        <v>1</v>
      </c>
      <c r="P257" s="78"/>
      <c r="Q257" s="78" t="str">
        <f>IFERROR(VLOOKUP($B257,[1]Sheet2!$A:$L,12,FALSE()),"")</f>
        <v>Dubai</v>
      </c>
      <c r="R257" s="85">
        <f t="shared" ca="1" si="6"/>
        <v>249</v>
      </c>
      <c r="S257" s="86" t="str">
        <f t="shared" ca="1" si="7"/>
        <v>✓ OK</v>
      </c>
    </row>
    <row r="258" spans="1:19" ht="15.75" customHeight="1">
      <c r="A258" s="75">
        <v>262</v>
      </c>
      <c r="B258" s="76" t="s">
        <v>849</v>
      </c>
      <c r="C258" s="77" t="s">
        <v>848</v>
      </c>
      <c r="D258" s="77" t="s">
        <v>819</v>
      </c>
      <c r="E258" s="78" t="s">
        <v>6</v>
      </c>
      <c r="F258" s="77" t="s">
        <v>53</v>
      </c>
      <c r="G258" s="79" t="s">
        <v>788</v>
      </c>
      <c r="H258" s="78"/>
      <c r="I258" s="78"/>
      <c r="J258" s="78" t="s">
        <v>787</v>
      </c>
      <c r="K258" s="81" t="s">
        <v>2</v>
      </c>
      <c r="L258" s="82">
        <f>IFERROR(VLOOKUP($B258,[1]Sheet2!$A:$L,11,FALSE()),"")</f>
        <v>45995</v>
      </c>
      <c r="M258" s="83">
        <v>46496</v>
      </c>
      <c r="N258" s="84">
        <v>46386</v>
      </c>
      <c r="O258" s="78" t="s">
        <v>1</v>
      </c>
      <c r="P258" s="78"/>
      <c r="Q258" s="78" t="str">
        <f>IFERROR(VLOOKUP($B258,[1]Sheet2!$A:$L,12,FALSE()),"")</f>
        <v>Dubai</v>
      </c>
      <c r="R258" s="85">
        <f t="shared" ref="R258:R321" ca="1" si="8">IF(ISNUMBER(M258),INT(M258)-INT(TODAY()),"")</f>
        <v>249</v>
      </c>
      <c r="S258" s="86" t="str">
        <f t="shared" ref="S258:S321" ca="1" si="9">IF(R258="","—",IF(R258&lt;0,"EXPIRED",IF(R258&lt;=30,"⚠ EXPIRES SOON",IF(R258&lt;=90,"⚡ 90 Days","✓ OK"))))</f>
        <v>✓ OK</v>
      </c>
    </row>
    <row r="259" spans="1:19" ht="15.75" customHeight="1">
      <c r="A259" s="75">
        <v>263</v>
      </c>
      <c r="B259" s="76" t="s">
        <v>847</v>
      </c>
      <c r="C259" s="77" t="s">
        <v>846</v>
      </c>
      <c r="D259" s="77" t="s">
        <v>819</v>
      </c>
      <c r="E259" s="78" t="s">
        <v>6</v>
      </c>
      <c r="F259" s="77" t="s">
        <v>53</v>
      </c>
      <c r="G259" s="79" t="s">
        <v>788</v>
      </c>
      <c r="H259" s="78"/>
      <c r="I259" s="78"/>
      <c r="J259" s="78" t="s">
        <v>787</v>
      </c>
      <c r="K259" s="81" t="s">
        <v>2</v>
      </c>
      <c r="L259" s="82">
        <f>IFERROR(VLOOKUP($B259,[1]Sheet2!$A:$L,11,FALSE()),"")</f>
        <v>45996</v>
      </c>
      <c r="M259" s="83">
        <v>46496</v>
      </c>
      <c r="N259" s="84">
        <v>46386</v>
      </c>
      <c r="O259" s="78" t="s">
        <v>1</v>
      </c>
      <c r="P259" s="78"/>
      <c r="Q259" s="78" t="str">
        <f>IFERROR(VLOOKUP($B259,[1]Sheet2!$A:$L,12,FALSE()),"")</f>
        <v>Dubai</v>
      </c>
      <c r="R259" s="85">
        <f t="shared" ca="1" si="8"/>
        <v>249</v>
      </c>
      <c r="S259" s="86" t="str">
        <f t="shared" ca="1" si="9"/>
        <v>✓ OK</v>
      </c>
    </row>
    <row r="260" spans="1:19" ht="15.75" customHeight="1">
      <c r="A260" s="75">
        <v>264</v>
      </c>
      <c r="B260" s="76" t="s">
        <v>845</v>
      </c>
      <c r="C260" s="77" t="s">
        <v>844</v>
      </c>
      <c r="D260" s="77" t="s">
        <v>819</v>
      </c>
      <c r="E260" s="78" t="s">
        <v>6</v>
      </c>
      <c r="F260" s="77" t="s">
        <v>53</v>
      </c>
      <c r="G260" s="79" t="s">
        <v>788</v>
      </c>
      <c r="H260" s="78"/>
      <c r="I260" s="78"/>
      <c r="J260" s="78" t="s">
        <v>787</v>
      </c>
      <c r="K260" s="81" t="s">
        <v>2</v>
      </c>
      <c r="L260" s="82">
        <f>IFERROR(VLOOKUP($B260,[1]Sheet2!$A:$L,11,FALSE()),"")</f>
        <v>45994</v>
      </c>
      <c r="M260" s="83">
        <v>46496</v>
      </c>
      <c r="N260" s="84">
        <v>46386</v>
      </c>
      <c r="O260" s="78" t="s">
        <v>1</v>
      </c>
      <c r="P260" s="78"/>
      <c r="Q260" s="78" t="str">
        <f>IFERROR(VLOOKUP($B260,[1]Sheet2!$A:$L,12,FALSE()),"")</f>
        <v>Dubai</v>
      </c>
      <c r="R260" s="85">
        <f t="shared" ca="1" si="8"/>
        <v>249</v>
      </c>
      <c r="S260" s="86" t="str">
        <f t="shared" ca="1" si="9"/>
        <v>✓ OK</v>
      </c>
    </row>
    <row r="261" spans="1:19" ht="15.75" customHeight="1">
      <c r="A261" s="75">
        <v>265</v>
      </c>
      <c r="B261" s="76" t="s">
        <v>843</v>
      </c>
      <c r="C261" s="77" t="s">
        <v>842</v>
      </c>
      <c r="D261" s="77" t="s">
        <v>819</v>
      </c>
      <c r="E261" s="78" t="s">
        <v>6</v>
      </c>
      <c r="F261" s="77" t="s">
        <v>53</v>
      </c>
      <c r="G261" s="79" t="s">
        <v>788</v>
      </c>
      <c r="H261" s="78"/>
      <c r="I261" s="78"/>
      <c r="J261" s="78" t="s">
        <v>787</v>
      </c>
      <c r="K261" s="81" t="s">
        <v>2</v>
      </c>
      <c r="L261" s="82">
        <f>IFERROR(VLOOKUP($B261,[1]Sheet2!$A:$L,11,FALSE()),"")</f>
        <v>45995</v>
      </c>
      <c r="M261" s="83">
        <v>46496</v>
      </c>
      <c r="N261" s="84">
        <v>46386</v>
      </c>
      <c r="O261" s="78" t="s">
        <v>1</v>
      </c>
      <c r="P261" s="78"/>
      <c r="Q261" s="78" t="str">
        <f>IFERROR(VLOOKUP($B261,[1]Sheet2!$A:$L,12,FALSE()),"")</f>
        <v>Dubai</v>
      </c>
      <c r="R261" s="85">
        <f t="shared" ca="1" si="8"/>
        <v>249</v>
      </c>
      <c r="S261" s="86" t="str">
        <f t="shared" ca="1" si="9"/>
        <v>✓ OK</v>
      </c>
    </row>
    <row r="262" spans="1:19" ht="15.75" customHeight="1">
      <c r="A262" s="75">
        <v>266</v>
      </c>
      <c r="B262" s="76" t="s">
        <v>841</v>
      </c>
      <c r="C262" s="77" t="s">
        <v>840</v>
      </c>
      <c r="D262" s="77" t="s">
        <v>819</v>
      </c>
      <c r="E262" s="78" t="s">
        <v>6</v>
      </c>
      <c r="F262" s="77" t="s">
        <v>53</v>
      </c>
      <c r="G262" s="79" t="s">
        <v>788</v>
      </c>
      <c r="H262" s="78"/>
      <c r="I262" s="78"/>
      <c r="J262" s="78" t="s">
        <v>787</v>
      </c>
      <c r="K262" s="81" t="s">
        <v>2</v>
      </c>
      <c r="L262" s="82">
        <f>IFERROR(VLOOKUP($B262,[1]Sheet2!$A:$L,11,FALSE()),"")</f>
        <v>45996</v>
      </c>
      <c r="M262" s="83">
        <v>46496</v>
      </c>
      <c r="N262" s="84">
        <v>46386</v>
      </c>
      <c r="O262" s="78" t="s">
        <v>1</v>
      </c>
      <c r="P262" s="78"/>
      <c r="Q262" s="78" t="str">
        <f>IFERROR(VLOOKUP($B262,[1]Sheet2!$A:$L,12,FALSE()),"")</f>
        <v>Dubai</v>
      </c>
      <c r="R262" s="85">
        <f t="shared" ca="1" si="8"/>
        <v>249</v>
      </c>
      <c r="S262" s="86" t="str">
        <f t="shared" ca="1" si="9"/>
        <v>✓ OK</v>
      </c>
    </row>
    <row r="263" spans="1:19" ht="15.75" customHeight="1">
      <c r="A263" s="75">
        <v>267</v>
      </c>
      <c r="B263" s="76" t="s">
        <v>839</v>
      </c>
      <c r="C263" s="77" t="s">
        <v>838</v>
      </c>
      <c r="D263" s="77" t="s">
        <v>819</v>
      </c>
      <c r="E263" s="78" t="s">
        <v>6</v>
      </c>
      <c r="F263" s="77" t="s">
        <v>53</v>
      </c>
      <c r="G263" s="79" t="s">
        <v>788</v>
      </c>
      <c r="H263" s="78"/>
      <c r="I263" s="78"/>
      <c r="J263" s="78" t="s">
        <v>787</v>
      </c>
      <c r="K263" s="81" t="s">
        <v>2</v>
      </c>
      <c r="L263" s="82">
        <f>IFERROR(VLOOKUP($B263,[1]Sheet2!$A:$L,11,FALSE()),"")</f>
        <v>45996</v>
      </c>
      <c r="M263" s="83">
        <v>46496</v>
      </c>
      <c r="N263" s="84">
        <v>46386</v>
      </c>
      <c r="O263" s="78" t="s">
        <v>1</v>
      </c>
      <c r="P263" s="78"/>
      <c r="Q263" s="78" t="str">
        <f>IFERROR(VLOOKUP($B263,[1]Sheet2!$A:$L,12,FALSE()),"")</f>
        <v>Dubai</v>
      </c>
      <c r="R263" s="85">
        <f t="shared" ca="1" si="8"/>
        <v>249</v>
      </c>
      <c r="S263" s="86" t="str">
        <f t="shared" ca="1" si="9"/>
        <v>✓ OK</v>
      </c>
    </row>
    <row r="264" spans="1:19" ht="15.75" customHeight="1">
      <c r="A264" s="75">
        <v>268</v>
      </c>
      <c r="B264" s="76" t="s">
        <v>837</v>
      </c>
      <c r="C264" s="77" t="s">
        <v>836</v>
      </c>
      <c r="D264" s="77" t="s">
        <v>819</v>
      </c>
      <c r="E264" s="78" t="s">
        <v>6</v>
      </c>
      <c r="F264" s="77" t="s">
        <v>53</v>
      </c>
      <c r="G264" s="79" t="s">
        <v>788</v>
      </c>
      <c r="H264" s="78"/>
      <c r="I264" s="78"/>
      <c r="J264" s="78" t="s">
        <v>787</v>
      </c>
      <c r="K264" s="81" t="s">
        <v>2</v>
      </c>
      <c r="L264" s="82">
        <f>IFERROR(VLOOKUP($B264,[1]Sheet2!$A:$L,11,FALSE()),"")</f>
        <v>45994</v>
      </c>
      <c r="M264" s="83">
        <v>46496</v>
      </c>
      <c r="N264" s="84">
        <v>46386</v>
      </c>
      <c r="O264" s="78" t="s">
        <v>1</v>
      </c>
      <c r="P264" s="78"/>
      <c r="Q264" s="78" t="str">
        <f>IFERROR(VLOOKUP($B264,[1]Sheet2!$A:$L,12,FALSE()),"")</f>
        <v>Dubai</v>
      </c>
      <c r="R264" s="85">
        <f t="shared" ca="1" si="8"/>
        <v>249</v>
      </c>
      <c r="S264" s="86" t="str">
        <f t="shared" ca="1" si="9"/>
        <v>✓ OK</v>
      </c>
    </row>
    <row r="265" spans="1:19" ht="15.75" customHeight="1">
      <c r="A265" s="75">
        <v>269</v>
      </c>
      <c r="B265" s="76" t="s">
        <v>835</v>
      </c>
      <c r="C265" s="77" t="s">
        <v>834</v>
      </c>
      <c r="D265" s="77" t="s">
        <v>819</v>
      </c>
      <c r="E265" s="78" t="s">
        <v>6</v>
      </c>
      <c r="F265" s="77" t="s">
        <v>53</v>
      </c>
      <c r="G265" s="79" t="s">
        <v>788</v>
      </c>
      <c r="H265" s="78"/>
      <c r="I265" s="78"/>
      <c r="J265" s="78" t="s">
        <v>787</v>
      </c>
      <c r="K265" s="81" t="s">
        <v>2</v>
      </c>
      <c r="L265" s="82">
        <f>IFERROR(VLOOKUP($B265,[1]Sheet2!$A:$L,11,FALSE()),"")</f>
        <v>45996</v>
      </c>
      <c r="M265" s="83">
        <v>46496</v>
      </c>
      <c r="N265" s="84">
        <v>46386</v>
      </c>
      <c r="O265" s="78" t="s">
        <v>1</v>
      </c>
      <c r="P265" s="78"/>
      <c r="Q265" s="78" t="str">
        <f>IFERROR(VLOOKUP($B265,[1]Sheet2!$A:$L,12,FALSE()),"")</f>
        <v>Dubai</v>
      </c>
      <c r="R265" s="85">
        <f t="shared" ca="1" si="8"/>
        <v>249</v>
      </c>
      <c r="S265" s="86" t="str">
        <f t="shared" ca="1" si="9"/>
        <v>✓ OK</v>
      </c>
    </row>
    <row r="266" spans="1:19" ht="15.75" customHeight="1">
      <c r="A266" s="75">
        <v>270</v>
      </c>
      <c r="B266" s="76" t="s">
        <v>833</v>
      </c>
      <c r="C266" s="77" t="s">
        <v>832</v>
      </c>
      <c r="D266" s="77" t="s">
        <v>819</v>
      </c>
      <c r="E266" s="78" t="s">
        <v>6</v>
      </c>
      <c r="F266" s="77" t="s">
        <v>53</v>
      </c>
      <c r="G266" s="79" t="s">
        <v>788</v>
      </c>
      <c r="H266" s="78"/>
      <c r="I266" s="78"/>
      <c r="J266" s="78" t="s">
        <v>787</v>
      </c>
      <c r="K266" s="81" t="s">
        <v>2</v>
      </c>
      <c r="L266" s="82">
        <f>IFERROR(VLOOKUP($B266,[1]Sheet2!$A:$L,11,FALSE()),"")</f>
        <v>45995</v>
      </c>
      <c r="M266" s="83">
        <v>46496</v>
      </c>
      <c r="N266" s="84">
        <v>46386</v>
      </c>
      <c r="O266" s="78" t="s">
        <v>1</v>
      </c>
      <c r="P266" s="78"/>
      <c r="Q266" s="78" t="str">
        <f>IFERROR(VLOOKUP($B266,[1]Sheet2!$A:$L,12,FALSE()),"")</f>
        <v>Dubai</v>
      </c>
      <c r="R266" s="85">
        <f t="shared" ca="1" si="8"/>
        <v>249</v>
      </c>
      <c r="S266" s="86" t="str">
        <f t="shared" ca="1" si="9"/>
        <v>✓ OK</v>
      </c>
    </row>
    <row r="267" spans="1:19" ht="15.75" customHeight="1">
      <c r="A267" s="75">
        <v>271</v>
      </c>
      <c r="B267" s="76" t="s">
        <v>831</v>
      </c>
      <c r="C267" s="77" t="s">
        <v>830</v>
      </c>
      <c r="D267" s="77" t="s">
        <v>819</v>
      </c>
      <c r="E267" s="78" t="s">
        <v>6</v>
      </c>
      <c r="F267" s="77" t="s">
        <v>53</v>
      </c>
      <c r="G267" s="79" t="s">
        <v>788</v>
      </c>
      <c r="H267" s="78"/>
      <c r="I267" s="78"/>
      <c r="J267" s="78" t="s">
        <v>787</v>
      </c>
      <c r="K267" s="81" t="s">
        <v>2</v>
      </c>
      <c r="L267" s="82">
        <f>IFERROR(VLOOKUP($B267,[1]Sheet2!$A:$L,11,FALSE()),"")</f>
        <v>45996</v>
      </c>
      <c r="M267" s="83">
        <v>46496</v>
      </c>
      <c r="N267" s="84">
        <v>46386</v>
      </c>
      <c r="O267" s="78" t="s">
        <v>1</v>
      </c>
      <c r="P267" s="78"/>
      <c r="Q267" s="78" t="str">
        <f>IFERROR(VLOOKUP($B267,[1]Sheet2!$A:$L,12,FALSE()),"")</f>
        <v>Dubai</v>
      </c>
      <c r="R267" s="85">
        <f t="shared" ca="1" si="8"/>
        <v>249</v>
      </c>
      <c r="S267" s="86" t="str">
        <f t="shared" ca="1" si="9"/>
        <v>✓ OK</v>
      </c>
    </row>
    <row r="268" spans="1:19" ht="15.75" customHeight="1">
      <c r="A268" s="75">
        <v>272</v>
      </c>
      <c r="B268" s="76" t="s">
        <v>829</v>
      </c>
      <c r="C268" s="77" t="s">
        <v>828</v>
      </c>
      <c r="D268" s="77" t="s">
        <v>819</v>
      </c>
      <c r="E268" s="78" t="s">
        <v>6</v>
      </c>
      <c r="F268" s="77" t="s">
        <v>53</v>
      </c>
      <c r="G268" s="79" t="s">
        <v>788</v>
      </c>
      <c r="H268" s="78"/>
      <c r="I268" s="78"/>
      <c r="J268" s="78" t="s">
        <v>787</v>
      </c>
      <c r="K268" s="81" t="s">
        <v>2</v>
      </c>
      <c r="L268" s="82">
        <f>IFERROR(VLOOKUP($B268,[1]Sheet2!$A:$L,11,FALSE()),"")</f>
        <v>45994</v>
      </c>
      <c r="M268" s="83">
        <v>46496</v>
      </c>
      <c r="N268" s="84">
        <v>46386</v>
      </c>
      <c r="O268" s="78" t="s">
        <v>1</v>
      </c>
      <c r="P268" s="78"/>
      <c r="Q268" s="78" t="str">
        <f>IFERROR(VLOOKUP($B268,[1]Sheet2!$A:$L,12,FALSE()),"")</f>
        <v>Dubai</v>
      </c>
      <c r="R268" s="85">
        <f t="shared" ca="1" si="8"/>
        <v>249</v>
      </c>
      <c r="S268" s="86" t="str">
        <f t="shared" ca="1" si="9"/>
        <v>✓ OK</v>
      </c>
    </row>
    <row r="269" spans="1:19" ht="15.75" customHeight="1">
      <c r="A269" s="75">
        <v>273</v>
      </c>
      <c r="B269" s="76" t="s">
        <v>827</v>
      </c>
      <c r="C269" s="77" t="s">
        <v>826</v>
      </c>
      <c r="D269" s="77" t="s">
        <v>819</v>
      </c>
      <c r="E269" s="78" t="s">
        <v>6</v>
      </c>
      <c r="F269" s="77" t="s">
        <v>53</v>
      </c>
      <c r="G269" s="79" t="s">
        <v>788</v>
      </c>
      <c r="H269" s="78"/>
      <c r="I269" s="78"/>
      <c r="J269" s="78" t="s">
        <v>787</v>
      </c>
      <c r="K269" s="81" t="s">
        <v>2</v>
      </c>
      <c r="L269" s="82">
        <f>IFERROR(VLOOKUP($B269,[1]Sheet2!$A:$L,11,FALSE()),"")</f>
        <v>45995</v>
      </c>
      <c r="M269" s="83">
        <v>46496</v>
      </c>
      <c r="N269" s="84">
        <v>46386</v>
      </c>
      <c r="O269" s="78" t="s">
        <v>1</v>
      </c>
      <c r="P269" s="78"/>
      <c r="Q269" s="78" t="str">
        <f>IFERROR(VLOOKUP($B269,[1]Sheet2!$A:$L,12,FALSE()),"")</f>
        <v>Dubai</v>
      </c>
      <c r="R269" s="85">
        <f t="shared" ca="1" si="8"/>
        <v>249</v>
      </c>
      <c r="S269" s="86" t="str">
        <f t="shared" ca="1" si="9"/>
        <v>✓ OK</v>
      </c>
    </row>
    <row r="270" spans="1:19" ht="15.75" customHeight="1">
      <c r="A270" s="75">
        <v>274</v>
      </c>
      <c r="B270" s="76" t="s">
        <v>825</v>
      </c>
      <c r="C270" s="77" t="s">
        <v>824</v>
      </c>
      <c r="D270" s="77" t="s">
        <v>819</v>
      </c>
      <c r="E270" s="78" t="s">
        <v>6</v>
      </c>
      <c r="F270" s="77" t="s">
        <v>53</v>
      </c>
      <c r="G270" s="79" t="s">
        <v>788</v>
      </c>
      <c r="H270" s="78"/>
      <c r="I270" s="78"/>
      <c r="J270" s="78" t="s">
        <v>787</v>
      </c>
      <c r="K270" s="81" t="s">
        <v>2</v>
      </c>
      <c r="L270" s="82">
        <f>IFERROR(VLOOKUP($B270,[1]Sheet2!$A:$L,11,FALSE()),"")</f>
        <v>45994</v>
      </c>
      <c r="M270" s="83">
        <v>46496</v>
      </c>
      <c r="N270" s="84">
        <v>46386</v>
      </c>
      <c r="O270" s="78" t="s">
        <v>1</v>
      </c>
      <c r="P270" s="78"/>
      <c r="Q270" s="78" t="str">
        <f>IFERROR(VLOOKUP($B270,[1]Sheet2!$A:$L,12,FALSE()),"")</f>
        <v>Dubai</v>
      </c>
      <c r="R270" s="85">
        <f t="shared" ca="1" si="8"/>
        <v>249</v>
      </c>
      <c r="S270" s="86" t="str">
        <f t="shared" ca="1" si="9"/>
        <v>✓ OK</v>
      </c>
    </row>
    <row r="271" spans="1:19" ht="15.75" customHeight="1">
      <c r="A271" s="75">
        <v>275</v>
      </c>
      <c r="B271" s="76" t="s">
        <v>823</v>
      </c>
      <c r="C271" s="77" t="s">
        <v>822</v>
      </c>
      <c r="D271" s="77" t="s">
        <v>819</v>
      </c>
      <c r="E271" s="78" t="s">
        <v>6</v>
      </c>
      <c r="F271" s="77" t="s">
        <v>53</v>
      </c>
      <c r="G271" s="79" t="s">
        <v>788</v>
      </c>
      <c r="H271" s="78"/>
      <c r="I271" s="78"/>
      <c r="J271" s="78" t="s">
        <v>787</v>
      </c>
      <c r="K271" s="81" t="s">
        <v>2</v>
      </c>
      <c r="L271" s="82">
        <f>IFERROR(VLOOKUP($B271,[1]Sheet2!$A:$L,11,FALSE()),"")</f>
        <v>45996</v>
      </c>
      <c r="M271" s="83">
        <v>46496</v>
      </c>
      <c r="N271" s="84">
        <v>46386</v>
      </c>
      <c r="O271" s="78" t="s">
        <v>1</v>
      </c>
      <c r="P271" s="78"/>
      <c r="Q271" s="78" t="str">
        <f>IFERROR(VLOOKUP($B271,[1]Sheet2!$A:$L,12,FALSE()),"")</f>
        <v>Dubai</v>
      </c>
      <c r="R271" s="85">
        <f t="shared" ca="1" si="8"/>
        <v>249</v>
      </c>
      <c r="S271" s="86" t="str">
        <f t="shared" ca="1" si="9"/>
        <v>✓ OK</v>
      </c>
    </row>
    <row r="272" spans="1:19" ht="15.75" customHeight="1">
      <c r="A272" s="75">
        <v>276</v>
      </c>
      <c r="B272" s="76" t="s">
        <v>821</v>
      </c>
      <c r="C272" s="77" t="s">
        <v>820</v>
      </c>
      <c r="D272" s="77" t="s">
        <v>819</v>
      </c>
      <c r="E272" s="78" t="s">
        <v>6</v>
      </c>
      <c r="F272" s="77" t="s">
        <v>53</v>
      </c>
      <c r="G272" s="79" t="s">
        <v>788</v>
      </c>
      <c r="H272" s="78"/>
      <c r="I272" s="78"/>
      <c r="J272" s="78" t="s">
        <v>787</v>
      </c>
      <c r="K272" s="81" t="s">
        <v>2</v>
      </c>
      <c r="L272" s="82">
        <f>IFERROR(VLOOKUP($B272,[1]Sheet2!$A:$L,11,FALSE()),"")</f>
        <v>45995</v>
      </c>
      <c r="M272" s="83">
        <v>46496</v>
      </c>
      <c r="N272" s="84">
        <v>46386</v>
      </c>
      <c r="O272" s="78" t="s">
        <v>1</v>
      </c>
      <c r="P272" s="78"/>
      <c r="Q272" s="78" t="str">
        <f>IFERROR(VLOOKUP($B272,[1]Sheet2!$A:$L,12,FALSE()),"")</f>
        <v>Dubai</v>
      </c>
      <c r="R272" s="85">
        <f t="shared" ca="1" si="8"/>
        <v>249</v>
      </c>
      <c r="S272" s="86" t="str">
        <f t="shared" ca="1" si="9"/>
        <v>✓ OK</v>
      </c>
    </row>
    <row r="273" spans="1:19" ht="15.75" customHeight="1">
      <c r="A273" s="75">
        <v>277</v>
      </c>
      <c r="B273" s="76" t="s">
        <v>818</v>
      </c>
      <c r="C273" s="77" t="s">
        <v>817</v>
      </c>
      <c r="D273" s="77" t="s">
        <v>797</v>
      </c>
      <c r="E273" s="78" t="s">
        <v>6</v>
      </c>
      <c r="F273" s="77" t="s">
        <v>53</v>
      </c>
      <c r="G273" s="79" t="s">
        <v>788</v>
      </c>
      <c r="H273" s="78"/>
      <c r="I273" s="78"/>
      <c r="J273" s="78" t="s">
        <v>796</v>
      </c>
      <c r="K273" s="81" t="s">
        <v>2</v>
      </c>
      <c r="L273" s="82">
        <f>IFERROR(VLOOKUP($B273,[1]Sheet2!$A:$L,11,FALSE()),"")</f>
        <v>45996</v>
      </c>
      <c r="M273" s="83">
        <v>46386</v>
      </c>
      <c r="N273" s="84">
        <v>46386</v>
      </c>
      <c r="O273" s="78" t="s">
        <v>1</v>
      </c>
      <c r="P273" s="78"/>
      <c r="Q273" s="78" t="str">
        <f>IFERROR(VLOOKUP($B273,[1]Sheet2!$A:$L,12,FALSE()),"")</f>
        <v>Dubai</v>
      </c>
      <c r="R273" s="85">
        <f t="shared" ca="1" si="8"/>
        <v>139</v>
      </c>
      <c r="S273" s="86" t="str">
        <f t="shared" ca="1" si="9"/>
        <v>✓ OK</v>
      </c>
    </row>
    <row r="274" spans="1:19" ht="15.75" customHeight="1">
      <c r="A274" s="75">
        <v>278</v>
      </c>
      <c r="B274" s="76" t="s">
        <v>816</v>
      </c>
      <c r="C274" s="77" t="s">
        <v>815</v>
      </c>
      <c r="D274" s="77" t="s">
        <v>484</v>
      </c>
      <c r="E274" s="78" t="s">
        <v>6</v>
      </c>
      <c r="F274" s="77" t="s">
        <v>53</v>
      </c>
      <c r="G274" s="79" t="s">
        <v>788</v>
      </c>
      <c r="H274" s="78"/>
      <c r="I274" s="78"/>
      <c r="J274" s="78" t="s">
        <v>796</v>
      </c>
      <c r="K274" s="88" t="s">
        <v>42</v>
      </c>
      <c r="L274" s="82">
        <f>IFERROR(VLOOKUP($B274,[1]Sheet2!$A:$L,11,FALSE()),"")</f>
        <v>45995</v>
      </c>
      <c r="M274" s="90">
        <v>46021</v>
      </c>
      <c r="N274" s="78" t="s">
        <v>133</v>
      </c>
      <c r="O274" s="78" t="s">
        <v>41</v>
      </c>
      <c r="P274" s="78"/>
      <c r="Q274" s="78" t="str">
        <f>IFERROR(VLOOKUP($B274,[1]Sheet2!$A:$L,12,FALSE()),"")</f>
        <v>Dubai</v>
      </c>
      <c r="R274" s="85">
        <f t="shared" ca="1" si="8"/>
        <v>-226</v>
      </c>
      <c r="S274" s="86" t="str">
        <f t="shared" ca="1" si="9"/>
        <v>EXPIRED</v>
      </c>
    </row>
    <row r="275" spans="1:19" ht="15.75" customHeight="1">
      <c r="A275" s="75">
        <v>279</v>
      </c>
      <c r="B275" s="76" t="s">
        <v>814</v>
      </c>
      <c r="C275" s="77" t="s">
        <v>813</v>
      </c>
      <c r="D275" s="77" t="s">
        <v>793</v>
      </c>
      <c r="E275" s="78" t="s">
        <v>6</v>
      </c>
      <c r="F275" s="77" t="s">
        <v>53</v>
      </c>
      <c r="G275" s="79" t="s">
        <v>788</v>
      </c>
      <c r="H275" s="78"/>
      <c r="I275" s="78"/>
      <c r="J275" s="78" t="s">
        <v>792</v>
      </c>
      <c r="K275" s="81" t="s">
        <v>2</v>
      </c>
      <c r="L275" s="82">
        <f>IFERROR(VLOOKUP($B275,[1]Sheet2!$A:$L,11,FALSE()),"")</f>
        <v>45994</v>
      </c>
      <c r="M275" s="83">
        <v>46386</v>
      </c>
      <c r="N275" s="84">
        <v>46386</v>
      </c>
      <c r="O275" s="78" t="s">
        <v>1</v>
      </c>
      <c r="P275" s="78"/>
      <c r="Q275" s="78" t="str">
        <f>IFERROR(VLOOKUP($B275,[1]Sheet2!$A:$L,12,FALSE()),"")</f>
        <v>Dubai</v>
      </c>
      <c r="R275" s="85">
        <f t="shared" ca="1" si="8"/>
        <v>139</v>
      </c>
      <c r="S275" s="86" t="str">
        <f t="shared" ca="1" si="9"/>
        <v>✓ OK</v>
      </c>
    </row>
    <row r="276" spans="1:19" ht="15.75" customHeight="1">
      <c r="A276" s="75">
        <v>280</v>
      </c>
      <c r="B276" s="76" t="s">
        <v>812</v>
      </c>
      <c r="C276" s="77" t="s">
        <v>811</v>
      </c>
      <c r="D276" s="77" t="s">
        <v>793</v>
      </c>
      <c r="E276" s="78" t="s">
        <v>6</v>
      </c>
      <c r="F276" s="77" t="s">
        <v>53</v>
      </c>
      <c r="G276" s="79" t="s">
        <v>788</v>
      </c>
      <c r="H276" s="78"/>
      <c r="I276" s="78"/>
      <c r="J276" s="78" t="s">
        <v>792</v>
      </c>
      <c r="K276" s="81" t="s">
        <v>2</v>
      </c>
      <c r="L276" s="82">
        <f>IFERROR(VLOOKUP($B276,[1]Sheet2!$A:$L,11,FALSE()),"")</f>
        <v>45996</v>
      </c>
      <c r="M276" s="83">
        <v>46386</v>
      </c>
      <c r="N276" s="84">
        <v>46386</v>
      </c>
      <c r="O276" s="78" t="s">
        <v>1</v>
      </c>
      <c r="P276" s="78"/>
      <c r="Q276" s="78" t="str">
        <f>IFERROR(VLOOKUP($B276,[1]Sheet2!$A:$L,12,FALSE()),"")</f>
        <v>Dubai</v>
      </c>
      <c r="R276" s="85">
        <f t="shared" ca="1" si="8"/>
        <v>139</v>
      </c>
      <c r="S276" s="86" t="str">
        <f t="shared" ca="1" si="9"/>
        <v>✓ OK</v>
      </c>
    </row>
    <row r="277" spans="1:19" ht="15.75" customHeight="1">
      <c r="A277" s="75">
        <v>281</v>
      </c>
      <c r="B277" s="76" t="s">
        <v>810</v>
      </c>
      <c r="C277" s="77" t="s">
        <v>809</v>
      </c>
      <c r="D277" s="77" t="s">
        <v>793</v>
      </c>
      <c r="E277" s="78" t="s">
        <v>6</v>
      </c>
      <c r="F277" s="77" t="s">
        <v>53</v>
      </c>
      <c r="G277" s="79" t="s">
        <v>788</v>
      </c>
      <c r="H277" s="78"/>
      <c r="I277" s="78"/>
      <c r="J277" s="78" t="s">
        <v>792</v>
      </c>
      <c r="K277" s="81" t="s">
        <v>2</v>
      </c>
      <c r="L277" s="82">
        <f>IFERROR(VLOOKUP($B277,[1]Sheet2!$A:$L,11,FALSE()),"")</f>
        <v>45996</v>
      </c>
      <c r="M277" s="83">
        <v>46386</v>
      </c>
      <c r="N277" s="84">
        <v>46386</v>
      </c>
      <c r="O277" s="78" t="s">
        <v>1</v>
      </c>
      <c r="P277" s="78"/>
      <c r="Q277" s="78" t="str">
        <f>IFERROR(VLOOKUP($B277,[1]Sheet2!$A:$L,12,FALSE()),"")</f>
        <v>Dubai</v>
      </c>
      <c r="R277" s="85">
        <f t="shared" ca="1" si="8"/>
        <v>139</v>
      </c>
      <c r="S277" s="86" t="str">
        <f t="shared" ca="1" si="9"/>
        <v>✓ OK</v>
      </c>
    </row>
    <row r="278" spans="1:19" ht="15.75" customHeight="1">
      <c r="A278" s="75">
        <v>282</v>
      </c>
      <c r="B278" s="76" t="s">
        <v>808</v>
      </c>
      <c r="C278" s="77" t="s">
        <v>807</v>
      </c>
      <c r="D278" s="77" t="s">
        <v>793</v>
      </c>
      <c r="E278" s="78" t="s">
        <v>6</v>
      </c>
      <c r="F278" s="77" t="s">
        <v>53</v>
      </c>
      <c r="G278" s="79" t="s">
        <v>788</v>
      </c>
      <c r="H278" s="78"/>
      <c r="I278" s="78"/>
      <c r="J278" s="78" t="s">
        <v>792</v>
      </c>
      <c r="K278" s="81" t="s">
        <v>2</v>
      </c>
      <c r="L278" s="82">
        <f>IFERROR(VLOOKUP($B278,[1]Sheet2!$A:$L,11,FALSE()),"")</f>
        <v>45995</v>
      </c>
      <c r="M278" s="83">
        <v>46386</v>
      </c>
      <c r="N278" s="84">
        <v>46386</v>
      </c>
      <c r="O278" s="78" t="s">
        <v>1</v>
      </c>
      <c r="P278" s="78"/>
      <c r="Q278" s="78" t="str">
        <f>IFERROR(VLOOKUP($B278,[1]Sheet2!$A:$L,12,FALSE()),"")</f>
        <v>Dubai</v>
      </c>
      <c r="R278" s="85">
        <f t="shared" ca="1" si="8"/>
        <v>139</v>
      </c>
      <c r="S278" s="86" t="str">
        <f t="shared" ca="1" si="9"/>
        <v>✓ OK</v>
      </c>
    </row>
    <row r="279" spans="1:19" ht="15.75" customHeight="1">
      <c r="A279" s="75">
        <v>283</v>
      </c>
      <c r="B279" s="76" t="s">
        <v>806</v>
      </c>
      <c r="C279" s="77" t="s">
        <v>805</v>
      </c>
      <c r="D279" s="77" t="s">
        <v>802</v>
      </c>
      <c r="E279" s="78" t="s">
        <v>6</v>
      </c>
      <c r="F279" s="77" t="s">
        <v>53</v>
      </c>
      <c r="G279" s="79" t="s">
        <v>788</v>
      </c>
      <c r="H279" s="78"/>
      <c r="I279" s="78"/>
      <c r="J279" s="78" t="s">
        <v>787</v>
      </c>
      <c r="K279" s="88" t="s">
        <v>42</v>
      </c>
      <c r="L279" s="82" t="str">
        <f>IFERROR(VLOOKUP($B279,[1]Sheet2!$A:$L,11,FALSE()),"")</f>
        <v/>
      </c>
      <c r="M279" s="90">
        <v>46154</v>
      </c>
      <c r="N279" s="78" t="s">
        <v>133</v>
      </c>
      <c r="O279" s="78" t="s">
        <v>41</v>
      </c>
      <c r="P279" s="78"/>
      <c r="Q279" s="78" t="str">
        <f>IFERROR(VLOOKUP($B279,[1]Sheet2!$A:$L,12,FALSE()),"")</f>
        <v/>
      </c>
      <c r="R279" s="85">
        <f t="shared" ca="1" si="8"/>
        <v>-93</v>
      </c>
      <c r="S279" s="86" t="str">
        <f t="shared" ca="1" si="9"/>
        <v>EXPIRED</v>
      </c>
    </row>
    <row r="280" spans="1:19" ht="15.75" customHeight="1">
      <c r="A280" s="75">
        <v>284</v>
      </c>
      <c r="B280" s="76" t="s">
        <v>804</v>
      </c>
      <c r="C280" s="77" t="s">
        <v>803</v>
      </c>
      <c r="D280" s="77" t="s">
        <v>802</v>
      </c>
      <c r="E280" s="78" t="s">
        <v>6</v>
      </c>
      <c r="F280" s="77" t="s">
        <v>53</v>
      </c>
      <c r="G280" s="79" t="s">
        <v>788</v>
      </c>
      <c r="H280" s="78"/>
      <c r="I280" s="78"/>
      <c r="J280" s="78" t="s">
        <v>787</v>
      </c>
      <c r="K280" s="88" t="s">
        <v>42</v>
      </c>
      <c r="L280" s="82" t="str">
        <f>IFERROR(VLOOKUP($B280,[1]Sheet2!$A:$L,11,FALSE()),"")</f>
        <v/>
      </c>
      <c r="M280" s="90">
        <v>46154</v>
      </c>
      <c r="N280" s="78" t="s">
        <v>133</v>
      </c>
      <c r="O280" s="78" t="s">
        <v>41</v>
      </c>
      <c r="P280" s="78"/>
      <c r="Q280" s="78" t="str">
        <f>IFERROR(VLOOKUP($B280,[1]Sheet2!$A:$L,12,FALSE()),"")</f>
        <v/>
      </c>
      <c r="R280" s="85">
        <f t="shared" ca="1" si="8"/>
        <v>-93</v>
      </c>
      <c r="S280" s="86" t="str">
        <f t="shared" ca="1" si="9"/>
        <v>EXPIRED</v>
      </c>
    </row>
    <row r="281" spans="1:19" ht="15.75" customHeight="1">
      <c r="A281" s="75">
        <v>285</v>
      </c>
      <c r="B281" s="76" t="s">
        <v>801</v>
      </c>
      <c r="C281" s="77" t="s">
        <v>800</v>
      </c>
      <c r="D281" s="77"/>
      <c r="E281" s="78" t="s">
        <v>6</v>
      </c>
      <c r="F281" s="77" t="s">
        <v>53</v>
      </c>
      <c r="G281" s="79" t="s">
        <v>78</v>
      </c>
      <c r="H281" s="78"/>
      <c r="I281" s="78"/>
      <c r="J281" s="78" t="s">
        <v>787</v>
      </c>
      <c r="K281" s="81" t="s">
        <v>2</v>
      </c>
      <c r="L281" s="82">
        <f>IFERROR(VLOOKUP($B281,[1]Sheet2!$A:$L,11,FALSE()),"")</f>
        <v>45996</v>
      </c>
      <c r="M281" s="83">
        <v>46386</v>
      </c>
      <c r="N281" s="84">
        <v>46386</v>
      </c>
      <c r="O281" s="78" t="s">
        <v>1</v>
      </c>
      <c r="P281" s="78"/>
      <c r="Q281" s="78" t="str">
        <f>IFERROR(VLOOKUP($B281,[1]Sheet2!$A:$L,12,FALSE()),"")</f>
        <v>Dubai</v>
      </c>
      <c r="R281" s="85">
        <f t="shared" ca="1" si="8"/>
        <v>139</v>
      </c>
      <c r="S281" s="86" t="str">
        <f t="shared" ca="1" si="9"/>
        <v>✓ OK</v>
      </c>
    </row>
    <row r="282" spans="1:19" ht="15.75" customHeight="1">
      <c r="A282" s="75">
        <v>286</v>
      </c>
      <c r="B282" s="76" t="s">
        <v>799</v>
      </c>
      <c r="C282" s="77" t="s">
        <v>798</v>
      </c>
      <c r="D282" s="77" t="s">
        <v>797</v>
      </c>
      <c r="E282" s="78" t="s">
        <v>6</v>
      </c>
      <c r="F282" s="77" t="s">
        <v>53</v>
      </c>
      <c r="G282" s="79" t="s">
        <v>788</v>
      </c>
      <c r="H282" s="78"/>
      <c r="I282" s="78"/>
      <c r="J282" s="78" t="s">
        <v>796</v>
      </c>
      <c r="K282" s="81" t="s">
        <v>2</v>
      </c>
      <c r="L282" s="82">
        <f>IFERROR(VLOOKUP($B282,[1]Sheet2!$A:$L,11,FALSE()),"")</f>
        <v>46029</v>
      </c>
      <c r="M282" s="83">
        <v>46386</v>
      </c>
      <c r="N282" s="84">
        <v>46386</v>
      </c>
      <c r="O282" s="78" t="s">
        <v>1</v>
      </c>
      <c r="P282" s="78"/>
      <c r="Q282" s="78" t="str">
        <f>IFERROR(VLOOKUP($B282,[1]Sheet2!$A:$L,12,FALSE()),"")</f>
        <v>Dubai</v>
      </c>
      <c r="R282" s="85">
        <f t="shared" ca="1" si="8"/>
        <v>139</v>
      </c>
      <c r="S282" s="86" t="str">
        <f t="shared" ca="1" si="9"/>
        <v>✓ OK</v>
      </c>
    </row>
    <row r="283" spans="1:19" ht="15.75" customHeight="1">
      <c r="A283" s="75">
        <v>287</v>
      </c>
      <c r="B283" s="76" t="s">
        <v>795</v>
      </c>
      <c r="C283" s="77" t="s">
        <v>794</v>
      </c>
      <c r="D283" s="77" t="s">
        <v>793</v>
      </c>
      <c r="E283" s="78" t="s">
        <v>6</v>
      </c>
      <c r="F283" s="77" t="s">
        <v>53</v>
      </c>
      <c r="G283" s="79" t="s">
        <v>788</v>
      </c>
      <c r="H283" s="78"/>
      <c r="I283" s="78"/>
      <c r="J283" s="78" t="s">
        <v>792</v>
      </c>
      <c r="K283" s="81" t="s">
        <v>2</v>
      </c>
      <c r="L283" s="82">
        <f>IFERROR(VLOOKUP($B283,[1]Sheet2!$A:$L,11,FALSE()),"")</f>
        <v>46029</v>
      </c>
      <c r="M283" s="83">
        <v>46386</v>
      </c>
      <c r="N283" s="84">
        <v>46386</v>
      </c>
      <c r="O283" s="78" t="s">
        <v>1</v>
      </c>
      <c r="P283" s="78"/>
      <c r="Q283" s="78" t="str">
        <f>IFERROR(VLOOKUP($B283,[1]Sheet2!$A:$L,12,FALSE()),"")</f>
        <v>Dubai</v>
      </c>
      <c r="R283" s="85">
        <f t="shared" ca="1" si="8"/>
        <v>139</v>
      </c>
      <c r="S283" s="86" t="str">
        <f t="shared" ca="1" si="9"/>
        <v>✓ OK</v>
      </c>
    </row>
    <row r="284" spans="1:19" ht="15.75" customHeight="1">
      <c r="A284" s="75">
        <v>288</v>
      </c>
      <c r="B284" s="76" t="s">
        <v>791</v>
      </c>
      <c r="C284" s="92" t="s">
        <v>790</v>
      </c>
      <c r="D284" s="77" t="s">
        <v>789</v>
      </c>
      <c r="E284" s="78" t="s">
        <v>6</v>
      </c>
      <c r="F284" s="77" t="s">
        <v>53</v>
      </c>
      <c r="G284" s="79" t="s">
        <v>788</v>
      </c>
      <c r="H284" s="78"/>
      <c r="I284" s="78"/>
      <c r="J284" s="78" t="s">
        <v>787</v>
      </c>
      <c r="K284" s="81" t="s">
        <v>42</v>
      </c>
      <c r="L284" s="82" t="str">
        <f>IFERROR(VLOOKUP($B284,[1]Sheet2!$A:$L,11,FALSE()),"")</f>
        <v/>
      </c>
      <c r="M284" s="83">
        <v>46182</v>
      </c>
      <c r="N284" s="78" t="s">
        <v>133</v>
      </c>
      <c r="O284" s="78" t="s">
        <v>41</v>
      </c>
      <c r="P284" s="78"/>
      <c r="Q284" s="78" t="str">
        <f>IFERROR(VLOOKUP($B284,[1]Sheet2!$A:$L,12,FALSE()),"")</f>
        <v/>
      </c>
      <c r="R284" s="85">
        <f t="shared" ca="1" si="8"/>
        <v>-65</v>
      </c>
      <c r="S284" s="86" t="str">
        <f t="shared" ca="1" si="9"/>
        <v>EXPIRED</v>
      </c>
    </row>
    <row r="285" spans="1:19" ht="15.75" customHeight="1">
      <c r="A285" s="75">
        <v>290</v>
      </c>
      <c r="B285" s="76" t="s">
        <v>786</v>
      </c>
      <c r="C285" s="77" t="s">
        <v>785</v>
      </c>
      <c r="D285" s="77" t="s">
        <v>79</v>
      </c>
      <c r="E285" s="78" t="s">
        <v>6</v>
      </c>
      <c r="F285" s="77" t="s">
        <v>53</v>
      </c>
      <c r="G285" s="79" t="s">
        <v>78</v>
      </c>
      <c r="H285" s="78"/>
      <c r="I285" s="78"/>
      <c r="J285" s="78" t="s">
        <v>45</v>
      </c>
      <c r="K285" s="81" t="s">
        <v>2</v>
      </c>
      <c r="L285" s="82">
        <f>IFERROR(VLOOKUP($B285,[1]Sheet2!$A:$L,11,FALSE()),"")</f>
        <v>46120</v>
      </c>
      <c r="M285" s="83">
        <v>46487</v>
      </c>
      <c r="N285" s="84">
        <v>46386</v>
      </c>
      <c r="O285" s="78" t="s">
        <v>1</v>
      </c>
      <c r="P285" s="78" t="s">
        <v>0</v>
      </c>
      <c r="Q285" s="78" t="str">
        <f>IFERROR(VLOOKUP($B285,[1]Sheet2!$A:$L,12,FALSE()),"")</f>
        <v>Dubai</v>
      </c>
      <c r="R285" s="85">
        <f t="shared" ca="1" si="8"/>
        <v>240</v>
      </c>
      <c r="S285" s="86" t="str">
        <f t="shared" ca="1" si="9"/>
        <v>✓ OK</v>
      </c>
    </row>
    <row r="286" spans="1:19" ht="15.75" customHeight="1">
      <c r="A286" s="75">
        <v>291</v>
      </c>
      <c r="B286" s="76" t="s">
        <v>784</v>
      </c>
      <c r="C286" s="77" t="s">
        <v>86</v>
      </c>
      <c r="D286" s="77" t="s">
        <v>79</v>
      </c>
      <c r="E286" s="78" t="s">
        <v>6</v>
      </c>
      <c r="F286" s="77" t="s">
        <v>53</v>
      </c>
      <c r="G286" s="79" t="s">
        <v>78</v>
      </c>
      <c r="H286" s="78"/>
      <c r="I286" s="78"/>
      <c r="J286" s="78" t="s">
        <v>45</v>
      </c>
      <c r="K286" s="81" t="s">
        <v>2</v>
      </c>
      <c r="L286" s="82">
        <f>IFERROR(VLOOKUP($B286,[1]Sheet2!$A:$L,11,FALSE()),"")</f>
        <v>46120</v>
      </c>
      <c r="M286" s="83">
        <v>46487</v>
      </c>
      <c r="N286" s="84">
        <v>46386</v>
      </c>
      <c r="O286" s="78" t="s">
        <v>1</v>
      </c>
      <c r="P286" s="78"/>
      <c r="Q286" s="78" t="str">
        <f>IFERROR(VLOOKUP($B286,[1]Sheet2!$A:$L,12,FALSE()),"")</f>
        <v>Dubai</v>
      </c>
      <c r="R286" s="85">
        <f t="shared" ca="1" si="8"/>
        <v>240</v>
      </c>
      <c r="S286" s="86" t="str">
        <f t="shared" ca="1" si="9"/>
        <v>✓ OK</v>
      </c>
    </row>
    <row r="287" spans="1:19" ht="15.75" customHeight="1">
      <c r="A287" s="75">
        <v>292</v>
      </c>
      <c r="B287" s="76" t="s">
        <v>783</v>
      </c>
      <c r="C287" s="77" t="s">
        <v>82</v>
      </c>
      <c r="D287" s="77" t="s">
        <v>79</v>
      </c>
      <c r="E287" s="78" t="s">
        <v>6</v>
      </c>
      <c r="F287" s="77" t="s">
        <v>53</v>
      </c>
      <c r="G287" s="79" t="s">
        <v>78</v>
      </c>
      <c r="H287" s="78"/>
      <c r="I287" s="78"/>
      <c r="J287" s="78" t="s">
        <v>45</v>
      </c>
      <c r="K287" s="81" t="s">
        <v>2</v>
      </c>
      <c r="L287" s="82">
        <f>IFERROR(VLOOKUP($B287,[1]Sheet2!$A:$L,11,FALSE()),"")</f>
        <v>46120</v>
      </c>
      <c r="M287" s="83">
        <v>46487</v>
      </c>
      <c r="N287" s="84">
        <v>46386</v>
      </c>
      <c r="O287" s="78" t="s">
        <v>1</v>
      </c>
      <c r="P287" s="78" t="s">
        <v>0</v>
      </c>
      <c r="Q287" s="78" t="str">
        <f>IFERROR(VLOOKUP($B287,[1]Sheet2!$A:$L,12,FALSE()),"")</f>
        <v>Dubai</v>
      </c>
      <c r="R287" s="85">
        <f t="shared" ca="1" si="8"/>
        <v>240</v>
      </c>
      <c r="S287" s="86" t="str">
        <f t="shared" ca="1" si="9"/>
        <v>✓ OK</v>
      </c>
    </row>
    <row r="288" spans="1:19" ht="15.75" customHeight="1">
      <c r="A288" s="75">
        <v>293</v>
      </c>
      <c r="B288" s="76" t="s">
        <v>782</v>
      </c>
      <c r="C288" s="77" t="s">
        <v>84</v>
      </c>
      <c r="D288" s="77" t="s">
        <v>79</v>
      </c>
      <c r="E288" s="78" t="s">
        <v>6</v>
      </c>
      <c r="F288" s="77" t="s">
        <v>53</v>
      </c>
      <c r="G288" s="79" t="s">
        <v>78</v>
      </c>
      <c r="H288" s="78"/>
      <c r="I288" s="78"/>
      <c r="J288" s="78" t="s">
        <v>45</v>
      </c>
      <c r="K288" s="81" t="s">
        <v>2</v>
      </c>
      <c r="L288" s="82">
        <f>IFERROR(VLOOKUP($B288,[1]Sheet2!$A:$L,11,FALSE()),"")</f>
        <v>46120</v>
      </c>
      <c r="M288" s="83">
        <v>46487</v>
      </c>
      <c r="N288" s="84">
        <v>46386</v>
      </c>
      <c r="O288" s="78" t="s">
        <v>1</v>
      </c>
      <c r="P288" s="78" t="s">
        <v>0</v>
      </c>
      <c r="Q288" s="78" t="str">
        <f>IFERROR(VLOOKUP($B288,[1]Sheet2!$A:$L,12,FALSE()),"")</f>
        <v>Dubai</v>
      </c>
      <c r="R288" s="85">
        <f t="shared" ca="1" si="8"/>
        <v>240</v>
      </c>
      <c r="S288" s="86" t="str">
        <f t="shared" ca="1" si="9"/>
        <v>✓ OK</v>
      </c>
    </row>
    <row r="289" spans="1:19" ht="15.75" customHeight="1">
      <c r="A289" s="75">
        <v>294</v>
      </c>
      <c r="B289" s="76" t="s">
        <v>781</v>
      </c>
      <c r="C289" s="77" t="s">
        <v>780</v>
      </c>
      <c r="D289" s="77" t="s">
        <v>79</v>
      </c>
      <c r="E289" s="78" t="s">
        <v>6</v>
      </c>
      <c r="F289" s="77" t="s">
        <v>53</v>
      </c>
      <c r="G289" s="79" t="s">
        <v>78</v>
      </c>
      <c r="H289" s="78"/>
      <c r="I289" s="78"/>
      <c r="J289" s="78" t="s">
        <v>45</v>
      </c>
      <c r="K289" s="81" t="s">
        <v>2</v>
      </c>
      <c r="L289" s="82">
        <f>IFERROR(VLOOKUP($B289,[1]Sheet2!$A:$L,11,FALSE()),"")</f>
        <v>46120</v>
      </c>
      <c r="M289" s="83">
        <v>46487</v>
      </c>
      <c r="N289" s="84">
        <v>46386</v>
      </c>
      <c r="O289" s="78" t="s">
        <v>1</v>
      </c>
      <c r="P289" s="78" t="s">
        <v>0</v>
      </c>
      <c r="Q289" s="78" t="str">
        <f>IFERROR(VLOOKUP($B289,[1]Sheet2!$A:$L,12,FALSE()),"")</f>
        <v>Dubai</v>
      </c>
      <c r="R289" s="85">
        <f t="shared" ca="1" si="8"/>
        <v>240</v>
      </c>
      <c r="S289" s="86" t="str">
        <f t="shared" ca="1" si="9"/>
        <v>✓ OK</v>
      </c>
    </row>
    <row r="290" spans="1:19" ht="15.75" customHeight="1">
      <c r="A290" s="75">
        <v>295</v>
      </c>
      <c r="B290" s="76" t="s">
        <v>779</v>
      </c>
      <c r="C290" s="77" t="s">
        <v>778</v>
      </c>
      <c r="D290" s="77" t="s">
        <v>79</v>
      </c>
      <c r="E290" s="78" t="s">
        <v>6</v>
      </c>
      <c r="F290" s="77" t="s">
        <v>53</v>
      </c>
      <c r="G290" s="79" t="s">
        <v>78</v>
      </c>
      <c r="H290" s="78"/>
      <c r="I290" s="78"/>
      <c r="J290" s="78" t="s">
        <v>45</v>
      </c>
      <c r="K290" s="81" t="s">
        <v>2</v>
      </c>
      <c r="L290" s="82">
        <f>IFERROR(VLOOKUP($B290,[1]Sheet2!$A:$L,11,FALSE()),"")</f>
        <v>46120</v>
      </c>
      <c r="M290" s="83">
        <v>46487</v>
      </c>
      <c r="N290" s="84">
        <v>46386</v>
      </c>
      <c r="O290" s="78" t="s">
        <v>1</v>
      </c>
      <c r="P290" s="78" t="s">
        <v>0</v>
      </c>
      <c r="Q290" s="78" t="str">
        <f>IFERROR(VLOOKUP($B290,[1]Sheet2!$A:$L,12,FALSE()),"")</f>
        <v>Dubai</v>
      </c>
      <c r="R290" s="85">
        <f t="shared" ca="1" si="8"/>
        <v>240</v>
      </c>
      <c r="S290" s="86" t="str">
        <f t="shared" ca="1" si="9"/>
        <v>✓ OK</v>
      </c>
    </row>
    <row r="291" spans="1:19" ht="15.75" customHeight="1">
      <c r="A291" s="75">
        <v>296</v>
      </c>
      <c r="B291" s="76" t="s">
        <v>777</v>
      </c>
      <c r="C291" s="77" t="s">
        <v>776</v>
      </c>
      <c r="D291" s="77" t="s">
        <v>79</v>
      </c>
      <c r="E291" s="78" t="s">
        <v>6</v>
      </c>
      <c r="F291" s="77" t="s">
        <v>53</v>
      </c>
      <c r="G291" s="79" t="s">
        <v>129</v>
      </c>
      <c r="H291" s="78"/>
      <c r="I291" s="78"/>
      <c r="J291" s="78" t="s">
        <v>45</v>
      </c>
      <c r="K291" s="81" t="s">
        <v>2</v>
      </c>
      <c r="L291" s="82">
        <f>IFERROR(VLOOKUP($B291,[1]Sheet2!$A:$L,11,FALSE()),"")</f>
        <v>46141</v>
      </c>
      <c r="M291" s="83">
        <v>46487</v>
      </c>
      <c r="N291" s="84">
        <v>46386</v>
      </c>
      <c r="O291" s="78" t="s">
        <v>1</v>
      </c>
      <c r="P291" s="78" t="s">
        <v>0</v>
      </c>
      <c r="Q291" s="78" t="str">
        <f>IFERROR(VLOOKUP($B291,[1]Sheet2!$A:$L,12,FALSE()),"")</f>
        <v>Dubai</v>
      </c>
      <c r="R291" s="85">
        <f t="shared" ca="1" si="8"/>
        <v>240</v>
      </c>
      <c r="S291" s="86" t="str">
        <f t="shared" ca="1" si="9"/>
        <v>✓ OK</v>
      </c>
    </row>
    <row r="292" spans="1:19" ht="15.75" customHeight="1">
      <c r="A292" s="75">
        <v>297</v>
      </c>
      <c r="B292" s="76" t="s">
        <v>775</v>
      </c>
      <c r="C292" s="77" t="s">
        <v>774</v>
      </c>
      <c r="D292" s="77" t="s">
        <v>773</v>
      </c>
      <c r="E292" s="78" t="s">
        <v>6</v>
      </c>
      <c r="F292" s="77" t="s">
        <v>53</v>
      </c>
      <c r="G292" s="79" t="s">
        <v>129</v>
      </c>
      <c r="H292" s="78"/>
      <c r="I292" s="78"/>
      <c r="J292" s="78" t="s">
        <v>45</v>
      </c>
      <c r="K292" s="81" t="s">
        <v>2</v>
      </c>
      <c r="L292" s="82">
        <f>IFERROR(VLOOKUP($B292,[1]Sheet2!$A:$L,11,FALSE()),"")</f>
        <v>46147</v>
      </c>
      <c r="M292" s="83">
        <v>46386</v>
      </c>
      <c r="N292" s="84">
        <v>46386</v>
      </c>
      <c r="O292" s="78" t="s">
        <v>1</v>
      </c>
      <c r="P292" s="78"/>
      <c r="Q292" s="78" t="str">
        <f>IFERROR(VLOOKUP($B292,[1]Sheet2!$A:$L,12,FALSE()),"")</f>
        <v>Dubai</v>
      </c>
      <c r="R292" s="85">
        <f t="shared" ca="1" si="8"/>
        <v>139</v>
      </c>
      <c r="S292" s="86" t="str">
        <f t="shared" ca="1" si="9"/>
        <v>✓ OK</v>
      </c>
    </row>
    <row r="293" spans="1:19" ht="15.75" customHeight="1">
      <c r="A293" s="75">
        <v>298</v>
      </c>
      <c r="B293" s="76" t="s">
        <v>772</v>
      </c>
      <c r="C293" s="77" t="s">
        <v>771</v>
      </c>
      <c r="D293" s="77" t="s">
        <v>770</v>
      </c>
      <c r="E293" s="78" t="s">
        <v>6</v>
      </c>
      <c r="F293" s="77" t="s">
        <v>53</v>
      </c>
      <c r="G293" s="79" t="s">
        <v>129</v>
      </c>
      <c r="H293" s="78"/>
      <c r="I293" s="78"/>
      <c r="J293" s="78" t="s">
        <v>45</v>
      </c>
      <c r="K293" s="81" t="s">
        <v>2</v>
      </c>
      <c r="L293" s="82">
        <f>IFERROR(VLOOKUP($B293,[1]Sheet2!$A:$L,11,FALSE()),"")</f>
        <v>46141</v>
      </c>
      <c r="M293" s="83">
        <v>46386</v>
      </c>
      <c r="N293" s="84">
        <v>46386</v>
      </c>
      <c r="O293" s="78" t="s">
        <v>1</v>
      </c>
      <c r="P293" s="78"/>
      <c r="Q293" s="78" t="str">
        <f>IFERROR(VLOOKUP($B293,[1]Sheet2!$A:$L,12,FALSE()),"")</f>
        <v>Dubai</v>
      </c>
      <c r="R293" s="85">
        <f t="shared" ca="1" si="8"/>
        <v>139</v>
      </c>
      <c r="S293" s="86" t="str">
        <f t="shared" ca="1" si="9"/>
        <v>✓ OK</v>
      </c>
    </row>
    <row r="294" spans="1:19" ht="15.75" customHeight="1">
      <c r="A294" s="75">
        <v>299</v>
      </c>
      <c r="B294" s="76" t="s">
        <v>769</v>
      </c>
      <c r="C294" s="77" t="s">
        <v>48</v>
      </c>
      <c r="D294" s="77" t="s">
        <v>48</v>
      </c>
      <c r="E294" s="78" t="s">
        <v>6</v>
      </c>
      <c r="F294" s="77" t="s">
        <v>47</v>
      </c>
      <c r="G294" s="79" t="s">
        <v>46</v>
      </c>
      <c r="H294" s="78"/>
      <c r="I294" s="78"/>
      <c r="J294" s="78" t="s">
        <v>45</v>
      </c>
      <c r="K294" s="81" t="s">
        <v>2</v>
      </c>
      <c r="L294" s="82">
        <f>IFERROR(VLOOKUP($B294,[1]Sheet2!$A:$L,11,FALSE()),"")</f>
        <v>45996</v>
      </c>
      <c r="M294" s="96">
        <v>46386</v>
      </c>
      <c r="N294" s="97">
        <v>46386</v>
      </c>
      <c r="O294" s="78" t="s">
        <v>1</v>
      </c>
      <c r="P294" s="78"/>
      <c r="Q294" s="78" t="str">
        <f>IFERROR(VLOOKUP($B294,[1]Sheet2!$A:$L,12,FALSE()),"")</f>
        <v>Dubai</v>
      </c>
      <c r="R294" s="85">
        <f t="shared" ca="1" si="8"/>
        <v>139</v>
      </c>
      <c r="S294" s="86" t="str">
        <f t="shared" ca="1" si="9"/>
        <v>✓ OK</v>
      </c>
    </row>
    <row r="295" spans="1:19" ht="15.75" customHeight="1">
      <c r="A295" s="75">
        <v>300</v>
      </c>
      <c r="B295" s="76" t="s">
        <v>768</v>
      </c>
      <c r="C295" s="77" t="s">
        <v>767</v>
      </c>
      <c r="D295" s="77" t="s">
        <v>767</v>
      </c>
      <c r="E295" s="78" t="s">
        <v>6</v>
      </c>
      <c r="F295" s="77" t="s">
        <v>47</v>
      </c>
      <c r="G295" s="79" t="s">
        <v>684</v>
      </c>
      <c r="H295" s="78"/>
      <c r="I295" s="78"/>
      <c r="J295" s="78" t="s">
        <v>680</v>
      </c>
      <c r="K295" s="81" t="s">
        <v>42</v>
      </c>
      <c r="L295" s="82" t="str">
        <f>IFERROR(VLOOKUP($B295,[1]Sheet2!$A:$L,11,FALSE()),"")</f>
        <v/>
      </c>
      <c r="M295" s="96">
        <v>46386</v>
      </c>
      <c r="N295" s="97">
        <v>46386</v>
      </c>
      <c r="O295" s="78" t="s">
        <v>1</v>
      </c>
      <c r="P295" s="78"/>
      <c r="Q295" s="78" t="str">
        <f>IFERROR(VLOOKUP($B295,[1]Sheet2!$A:$L,12,FALSE()),"")</f>
        <v/>
      </c>
      <c r="R295" s="85">
        <f t="shared" ca="1" si="8"/>
        <v>139</v>
      </c>
      <c r="S295" s="86" t="str">
        <f t="shared" ca="1" si="9"/>
        <v>✓ OK</v>
      </c>
    </row>
    <row r="296" spans="1:19" ht="15.75" customHeight="1">
      <c r="A296" s="75">
        <v>301</v>
      </c>
      <c r="B296" s="76" t="s">
        <v>766</v>
      </c>
      <c r="C296" s="77" t="s">
        <v>765</v>
      </c>
      <c r="D296" s="77" t="s">
        <v>765</v>
      </c>
      <c r="E296" s="78" t="s">
        <v>6</v>
      </c>
      <c r="F296" s="77" t="s">
        <v>47</v>
      </c>
      <c r="G296" s="79" t="s">
        <v>684</v>
      </c>
      <c r="H296" s="78"/>
      <c r="I296" s="78"/>
      <c r="J296" s="78" t="s">
        <v>759</v>
      </c>
      <c r="K296" s="88" t="s">
        <v>42</v>
      </c>
      <c r="L296" s="82" t="str">
        <f>IFERROR(VLOOKUP($B296,[1]Sheet2!$A:$L,11,FALSE()),"")</f>
        <v/>
      </c>
      <c r="M296" s="90">
        <v>45626</v>
      </c>
      <c r="N296" s="78" t="s">
        <v>133</v>
      </c>
      <c r="O296" s="78" t="s">
        <v>733</v>
      </c>
      <c r="P296" s="78"/>
      <c r="Q296" s="78" t="str">
        <f>IFERROR(VLOOKUP($B296,[1]Sheet2!$A:$L,12,FALSE()),"")</f>
        <v/>
      </c>
      <c r="R296" s="85">
        <f t="shared" ca="1" si="8"/>
        <v>-621</v>
      </c>
      <c r="S296" s="86" t="str">
        <f t="shared" ca="1" si="9"/>
        <v>EXPIRED</v>
      </c>
    </row>
    <row r="297" spans="1:19" ht="15.75" customHeight="1">
      <c r="A297" s="75">
        <v>302</v>
      </c>
      <c r="B297" s="76" t="s">
        <v>764</v>
      </c>
      <c r="C297" s="77" t="s">
        <v>763</v>
      </c>
      <c r="D297" s="77" t="s">
        <v>763</v>
      </c>
      <c r="E297" s="78" t="s">
        <v>6</v>
      </c>
      <c r="F297" s="77" t="s">
        <v>47</v>
      </c>
      <c r="G297" s="79" t="s">
        <v>684</v>
      </c>
      <c r="H297" s="78"/>
      <c r="I297" s="78"/>
      <c r="J297" s="78" t="s">
        <v>762</v>
      </c>
      <c r="K297" s="81" t="s">
        <v>2</v>
      </c>
      <c r="L297" s="82">
        <f>IFERROR(VLOOKUP($B297,[1]Sheet2!$A:$L,11,FALSE()),"")</f>
        <v>45994</v>
      </c>
      <c r="M297" s="96">
        <v>46386</v>
      </c>
      <c r="N297" s="97">
        <v>46386</v>
      </c>
      <c r="O297" s="78"/>
      <c r="P297" s="78"/>
      <c r="Q297" s="78" t="str">
        <f>IFERROR(VLOOKUP($B297,[1]Sheet2!$A:$L,12,FALSE()),"")</f>
        <v>Dubai</v>
      </c>
      <c r="R297" s="85">
        <f t="shared" ca="1" si="8"/>
        <v>139</v>
      </c>
      <c r="S297" s="86" t="str">
        <f t="shared" ca="1" si="9"/>
        <v>✓ OK</v>
      </c>
    </row>
    <row r="298" spans="1:19" ht="15.75" customHeight="1">
      <c r="A298" s="75">
        <v>303</v>
      </c>
      <c r="B298" s="76" t="s">
        <v>761</v>
      </c>
      <c r="C298" s="77" t="s">
        <v>760</v>
      </c>
      <c r="D298" s="77" t="s">
        <v>760</v>
      </c>
      <c r="E298" s="78" t="s">
        <v>6</v>
      </c>
      <c r="F298" s="77" t="s">
        <v>47</v>
      </c>
      <c r="G298" s="79" t="s">
        <v>684</v>
      </c>
      <c r="H298" s="78"/>
      <c r="I298" s="78"/>
      <c r="J298" s="78" t="s">
        <v>759</v>
      </c>
      <c r="K298" s="88" t="s">
        <v>42</v>
      </c>
      <c r="L298" s="82" t="str">
        <f>IFERROR(VLOOKUP($B298,[1]Sheet2!$A:$L,11,FALSE()),"")</f>
        <v/>
      </c>
      <c r="M298" s="90">
        <v>45290</v>
      </c>
      <c r="N298" s="78" t="s">
        <v>133</v>
      </c>
      <c r="O298" s="78" t="s">
        <v>733</v>
      </c>
      <c r="P298" s="78"/>
      <c r="Q298" s="78" t="str">
        <f>IFERROR(VLOOKUP($B298,[1]Sheet2!$A:$L,12,FALSE()),"")</f>
        <v/>
      </c>
      <c r="R298" s="85">
        <f t="shared" ca="1" si="8"/>
        <v>-957</v>
      </c>
      <c r="S298" s="86" t="str">
        <f t="shared" ca="1" si="9"/>
        <v>EXPIRED</v>
      </c>
    </row>
    <row r="299" spans="1:19" ht="15.75" customHeight="1">
      <c r="A299" s="75">
        <v>304</v>
      </c>
      <c r="B299" s="76" t="s">
        <v>758</v>
      </c>
      <c r="C299" s="77" t="s">
        <v>757</v>
      </c>
      <c r="D299" s="77"/>
      <c r="E299" s="78" t="s">
        <v>6</v>
      </c>
      <c r="F299" s="77" t="s">
        <v>47</v>
      </c>
      <c r="G299" s="79" t="s">
        <v>628</v>
      </c>
      <c r="H299" s="78"/>
      <c r="I299" s="78"/>
      <c r="J299" s="78" t="s">
        <v>99</v>
      </c>
      <c r="K299" s="88" t="s">
        <v>42</v>
      </c>
      <c r="L299" s="82" t="str">
        <f>IFERROR(VLOOKUP($B299,[1]Sheet2!$A:$L,11,FALSE()),"")</f>
        <v/>
      </c>
      <c r="M299" s="96">
        <v>46386</v>
      </c>
      <c r="N299" s="89">
        <v>46386</v>
      </c>
      <c r="O299" s="78" t="s">
        <v>181</v>
      </c>
      <c r="P299" s="78"/>
      <c r="Q299" s="78" t="str">
        <f>IFERROR(VLOOKUP($B299,[1]Sheet2!$A:$L,12,FALSE()),"")</f>
        <v/>
      </c>
      <c r="R299" s="85">
        <f t="shared" ca="1" si="8"/>
        <v>139</v>
      </c>
      <c r="S299" s="86" t="str">
        <f t="shared" ca="1" si="9"/>
        <v>✓ OK</v>
      </c>
    </row>
    <row r="300" spans="1:19" ht="15.75" customHeight="1">
      <c r="A300" s="75">
        <v>305</v>
      </c>
      <c r="B300" s="76" t="s">
        <v>756</v>
      </c>
      <c r="C300" s="77" t="s">
        <v>755</v>
      </c>
      <c r="D300" s="77"/>
      <c r="E300" s="78" t="s">
        <v>6</v>
      </c>
      <c r="F300" s="77" t="s">
        <v>47</v>
      </c>
      <c r="G300" s="79" t="s">
        <v>628</v>
      </c>
      <c r="H300" s="78"/>
      <c r="I300" s="78"/>
      <c r="J300" s="78" t="s">
        <v>754</v>
      </c>
      <c r="K300" s="81" t="s">
        <v>42</v>
      </c>
      <c r="L300" s="82" t="str">
        <f>IFERROR(VLOOKUP($B300,[1]Sheet2!$A:$L,11,FALSE()),"")</f>
        <v/>
      </c>
      <c r="M300" s="96">
        <v>46386</v>
      </c>
      <c r="N300" s="97">
        <v>46386</v>
      </c>
      <c r="O300" s="78" t="s">
        <v>181</v>
      </c>
      <c r="P300" s="78"/>
      <c r="Q300" s="78" t="str">
        <f>IFERROR(VLOOKUP($B300,[1]Sheet2!$A:$L,12,FALSE()),"")</f>
        <v/>
      </c>
      <c r="R300" s="85">
        <f t="shared" ca="1" si="8"/>
        <v>139</v>
      </c>
      <c r="S300" s="86" t="str">
        <f t="shared" ca="1" si="9"/>
        <v>✓ OK</v>
      </c>
    </row>
    <row r="301" spans="1:19" ht="15.75" customHeight="1">
      <c r="A301" s="75">
        <v>306</v>
      </c>
      <c r="B301" s="76" t="s">
        <v>753</v>
      </c>
      <c r="C301" s="77" t="s">
        <v>752</v>
      </c>
      <c r="D301" s="77"/>
      <c r="E301" s="78" t="s">
        <v>6</v>
      </c>
      <c r="F301" s="77" t="s">
        <v>47</v>
      </c>
      <c r="G301" s="79" t="s">
        <v>628</v>
      </c>
      <c r="H301" s="78"/>
      <c r="I301" s="78"/>
      <c r="J301" s="78" t="s">
        <v>751</v>
      </c>
      <c r="K301" s="81" t="s">
        <v>42</v>
      </c>
      <c r="L301" s="82" t="str">
        <f>IFERROR(VLOOKUP($B301,[1]Sheet2!$A:$L,11,FALSE()),"")</f>
        <v/>
      </c>
      <c r="M301" s="96">
        <v>46386</v>
      </c>
      <c r="N301" s="97">
        <v>46386</v>
      </c>
      <c r="O301" s="78" t="s">
        <v>181</v>
      </c>
      <c r="P301" s="78"/>
      <c r="Q301" s="78" t="str">
        <f>IFERROR(VLOOKUP($B301,[1]Sheet2!$A:$L,12,FALSE()),"")</f>
        <v/>
      </c>
      <c r="R301" s="85">
        <f t="shared" ca="1" si="8"/>
        <v>139</v>
      </c>
      <c r="S301" s="86" t="str">
        <f t="shared" ca="1" si="9"/>
        <v>✓ OK</v>
      </c>
    </row>
    <row r="302" spans="1:19" ht="15.75" customHeight="1">
      <c r="A302" s="75">
        <v>307</v>
      </c>
      <c r="B302" s="76" t="s">
        <v>750</v>
      </c>
      <c r="C302" s="77" t="s">
        <v>749</v>
      </c>
      <c r="D302" s="77"/>
      <c r="E302" s="78" t="s">
        <v>6</v>
      </c>
      <c r="F302" s="77" t="s">
        <v>47</v>
      </c>
      <c r="G302" s="79" t="s">
        <v>628</v>
      </c>
      <c r="H302" s="78"/>
      <c r="I302" s="78"/>
      <c r="J302" s="78" t="s">
        <v>748</v>
      </c>
      <c r="K302" s="88" t="s">
        <v>42</v>
      </c>
      <c r="L302" s="82" t="str">
        <f>IFERROR(VLOOKUP($B302,[1]Sheet2!$A:$L,11,FALSE()),"")</f>
        <v/>
      </c>
      <c r="M302" s="96">
        <v>44915</v>
      </c>
      <c r="N302" s="78" t="s">
        <v>133</v>
      </c>
      <c r="O302" s="78"/>
      <c r="P302" s="78"/>
      <c r="Q302" s="78" t="str">
        <f>IFERROR(VLOOKUP($B302,[1]Sheet2!$A:$L,12,FALSE()),"")</f>
        <v/>
      </c>
      <c r="R302" s="85">
        <f t="shared" ca="1" si="8"/>
        <v>-1332</v>
      </c>
      <c r="S302" s="86" t="str">
        <f t="shared" ca="1" si="9"/>
        <v>EXPIRED</v>
      </c>
    </row>
    <row r="303" spans="1:19" ht="15.75" customHeight="1">
      <c r="A303" s="75">
        <v>308</v>
      </c>
      <c r="B303" s="76" t="s">
        <v>747</v>
      </c>
      <c r="C303" s="77" t="s">
        <v>746</v>
      </c>
      <c r="D303" s="77"/>
      <c r="E303" s="78" t="s">
        <v>6</v>
      </c>
      <c r="F303" s="77" t="s">
        <v>47</v>
      </c>
      <c r="G303" s="79" t="s">
        <v>628</v>
      </c>
      <c r="H303" s="78"/>
      <c r="I303" s="78"/>
      <c r="J303" s="78" t="s">
        <v>745</v>
      </c>
      <c r="K303" s="81" t="s">
        <v>2</v>
      </c>
      <c r="L303" s="82">
        <f>IFERROR(VLOOKUP($B303,[1]Sheet2!$A:$L,11,FALSE()),"")</f>
        <v>45996</v>
      </c>
      <c r="M303" s="96">
        <v>46386</v>
      </c>
      <c r="N303" s="97">
        <v>46386</v>
      </c>
      <c r="O303" s="78" t="s">
        <v>181</v>
      </c>
      <c r="P303" s="78"/>
      <c r="Q303" s="78" t="str">
        <f>IFERROR(VLOOKUP($B303,[1]Sheet2!$A:$L,12,FALSE()),"")</f>
        <v>Dubai</v>
      </c>
      <c r="R303" s="85">
        <f t="shared" ca="1" si="8"/>
        <v>139</v>
      </c>
      <c r="S303" s="86" t="str">
        <f t="shared" ca="1" si="9"/>
        <v>✓ OK</v>
      </c>
    </row>
    <row r="304" spans="1:19" ht="15.75" customHeight="1">
      <c r="A304" s="75">
        <v>309</v>
      </c>
      <c r="B304" s="76" t="s">
        <v>744</v>
      </c>
      <c r="C304" s="77" t="s">
        <v>743</v>
      </c>
      <c r="D304" s="77"/>
      <c r="E304" s="78" t="s">
        <v>6</v>
      </c>
      <c r="F304" s="77" t="s">
        <v>47</v>
      </c>
      <c r="G304" s="79" t="s">
        <v>628</v>
      </c>
      <c r="H304" s="78"/>
      <c r="I304" s="78"/>
      <c r="J304" s="78" t="s">
        <v>742</v>
      </c>
      <c r="K304" s="81" t="s">
        <v>42</v>
      </c>
      <c r="L304" s="82" t="str">
        <f>IFERROR(VLOOKUP($B304,[1]Sheet2!$A:$L,11,FALSE()),"")</f>
        <v/>
      </c>
      <c r="M304" s="96">
        <v>46021</v>
      </c>
      <c r="N304" s="78" t="s">
        <v>133</v>
      </c>
      <c r="O304" s="78" t="s">
        <v>41</v>
      </c>
      <c r="P304" s="78"/>
      <c r="Q304" s="78" t="str">
        <f>IFERROR(VLOOKUP($B304,[1]Sheet2!$A:$L,12,FALSE()),"")</f>
        <v/>
      </c>
      <c r="R304" s="85">
        <f t="shared" ca="1" si="8"/>
        <v>-226</v>
      </c>
      <c r="S304" s="86" t="str">
        <f t="shared" ca="1" si="9"/>
        <v>EXPIRED</v>
      </c>
    </row>
    <row r="305" spans="1:19" ht="15.75" customHeight="1">
      <c r="A305" s="75">
        <v>310</v>
      </c>
      <c r="B305" s="76" t="s">
        <v>741</v>
      </c>
      <c r="C305" s="77" t="s">
        <v>740</v>
      </c>
      <c r="D305" s="77"/>
      <c r="E305" s="78" t="s">
        <v>6</v>
      </c>
      <c r="F305" s="77" t="s">
        <v>47</v>
      </c>
      <c r="G305" s="79" t="s">
        <v>634</v>
      </c>
      <c r="H305" s="78"/>
      <c r="I305" s="78"/>
      <c r="J305" s="78" t="s">
        <v>99</v>
      </c>
      <c r="K305" s="81" t="s">
        <v>2</v>
      </c>
      <c r="L305" s="82">
        <f>IFERROR(VLOOKUP($B305,[1]Sheet2!$A:$L,11,FALSE()),"")</f>
        <v>45996</v>
      </c>
      <c r="M305" s="96">
        <v>46386</v>
      </c>
      <c r="N305" s="97">
        <v>46386</v>
      </c>
      <c r="O305" s="78" t="s">
        <v>181</v>
      </c>
      <c r="P305" s="78"/>
      <c r="Q305" s="78" t="str">
        <f>IFERROR(VLOOKUP($B305,[1]Sheet2!$A:$L,12,FALSE()),"")</f>
        <v>Dubai</v>
      </c>
      <c r="R305" s="85">
        <f t="shared" ca="1" si="8"/>
        <v>139</v>
      </c>
      <c r="S305" s="86" t="str">
        <f t="shared" ca="1" si="9"/>
        <v>✓ OK</v>
      </c>
    </row>
    <row r="306" spans="1:19" ht="15.75" customHeight="1">
      <c r="A306" s="75">
        <v>311</v>
      </c>
      <c r="B306" s="76" t="s">
        <v>739</v>
      </c>
      <c r="C306" s="77" t="s">
        <v>738</v>
      </c>
      <c r="D306" s="77"/>
      <c r="E306" s="78" t="s">
        <v>6</v>
      </c>
      <c r="F306" s="77" t="s">
        <v>47</v>
      </c>
      <c r="G306" s="79" t="s">
        <v>135</v>
      </c>
      <c r="H306" s="78"/>
      <c r="I306" s="78"/>
      <c r="J306" s="78" t="s">
        <v>737</v>
      </c>
      <c r="K306" s="88" t="s">
        <v>42</v>
      </c>
      <c r="L306" s="82">
        <f>IFERROR(VLOOKUP($B306,[1]Sheet2!$A:$L,11,FALSE()),"")</f>
        <v>45720</v>
      </c>
      <c r="M306" s="90">
        <v>46055</v>
      </c>
      <c r="N306" s="78" t="s">
        <v>133</v>
      </c>
      <c r="O306" s="78"/>
      <c r="P306" s="78"/>
      <c r="Q306" s="78" t="str">
        <f>IFERROR(VLOOKUP($B306,[1]Sheet2!$A:$L,12,FALSE()),"")</f>
        <v>Dubai</v>
      </c>
      <c r="R306" s="85">
        <f t="shared" ca="1" si="8"/>
        <v>-192</v>
      </c>
      <c r="S306" s="86" t="str">
        <f t="shared" ca="1" si="9"/>
        <v>EXPIRED</v>
      </c>
    </row>
    <row r="307" spans="1:19" ht="15.75" customHeight="1">
      <c r="A307" s="75">
        <v>312</v>
      </c>
      <c r="B307" s="76" t="s">
        <v>736</v>
      </c>
      <c r="C307" s="77" t="s">
        <v>735</v>
      </c>
      <c r="D307" s="77"/>
      <c r="E307" s="78" t="s">
        <v>6</v>
      </c>
      <c r="F307" s="77" t="s">
        <v>47</v>
      </c>
      <c r="G307" s="79" t="s">
        <v>734</v>
      </c>
      <c r="H307" s="78"/>
      <c r="I307" s="78"/>
      <c r="J307" s="78" t="s">
        <v>133</v>
      </c>
      <c r="K307" s="88" t="s">
        <v>42</v>
      </c>
      <c r="L307" s="82" t="str">
        <f>IFERROR(VLOOKUP($B307,[1]Sheet2!$A:$L,11,FALSE()),"")</f>
        <v/>
      </c>
      <c r="M307" s="90">
        <v>45197</v>
      </c>
      <c r="N307" s="98" t="s">
        <v>42</v>
      </c>
      <c r="O307" s="78" t="s">
        <v>733</v>
      </c>
      <c r="P307" s="78"/>
      <c r="Q307" s="78" t="str">
        <f>IFERROR(VLOOKUP($B307,[1]Sheet2!$A:$L,12,FALSE()),"")</f>
        <v/>
      </c>
      <c r="R307" s="85">
        <f t="shared" ca="1" si="8"/>
        <v>-1050</v>
      </c>
      <c r="S307" s="86" t="str">
        <f t="shared" ca="1" si="9"/>
        <v>EXPIRED</v>
      </c>
    </row>
    <row r="308" spans="1:19" ht="15.75" customHeight="1">
      <c r="A308" s="75">
        <v>313</v>
      </c>
      <c r="B308" s="76" t="s">
        <v>732</v>
      </c>
      <c r="C308" s="77" t="s">
        <v>731</v>
      </c>
      <c r="D308" s="77"/>
      <c r="E308" s="78" t="s">
        <v>6</v>
      </c>
      <c r="F308" s="77" t="s">
        <v>47</v>
      </c>
      <c r="G308" s="79" t="s">
        <v>684</v>
      </c>
      <c r="H308" s="78"/>
      <c r="I308" s="78"/>
      <c r="J308" s="78" t="s">
        <v>730</v>
      </c>
      <c r="K308" s="81" t="s">
        <v>2</v>
      </c>
      <c r="L308" s="82">
        <f>IFERROR(VLOOKUP($B308,[1]Sheet2!$A:$L,11,FALSE()),"")</f>
        <v>45994</v>
      </c>
      <c r="M308" s="96">
        <v>46386</v>
      </c>
      <c r="N308" s="97">
        <v>46386</v>
      </c>
      <c r="O308" s="78" t="s">
        <v>181</v>
      </c>
      <c r="P308" s="78"/>
      <c r="Q308" s="78" t="str">
        <f>IFERROR(VLOOKUP($B308,[1]Sheet2!$A:$L,12,FALSE()),"")</f>
        <v>Dubai</v>
      </c>
      <c r="R308" s="85">
        <f t="shared" ca="1" si="8"/>
        <v>139</v>
      </c>
      <c r="S308" s="86" t="str">
        <f t="shared" ca="1" si="9"/>
        <v>✓ OK</v>
      </c>
    </row>
    <row r="309" spans="1:19" ht="15.75" customHeight="1">
      <c r="A309" s="75">
        <v>314</v>
      </c>
      <c r="B309" s="76" t="s">
        <v>729</v>
      </c>
      <c r="C309" s="77" t="s">
        <v>728</v>
      </c>
      <c r="D309" s="77"/>
      <c r="E309" s="78" t="s">
        <v>6</v>
      </c>
      <c r="F309" s="77" t="s">
        <v>47</v>
      </c>
      <c r="G309" s="79" t="s">
        <v>135</v>
      </c>
      <c r="H309" s="78"/>
      <c r="I309" s="78"/>
      <c r="J309" s="78" t="s">
        <v>727</v>
      </c>
      <c r="K309" s="81" t="s">
        <v>2</v>
      </c>
      <c r="L309" s="82">
        <f>IFERROR(VLOOKUP($B309,[1]Sheet2!$A:$L,11,FALSE()),"")</f>
        <v>45993</v>
      </c>
      <c r="M309" s="96">
        <v>46386</v>
      </c>
      <c r="N309" s="97">
        <v>46386</v>
      </c>
      <c r="O309" s="78" t="s">
        <v>181</v>
      </c>
      <c r="P309" s="78"/>
      <c r="Q309" s="78" t="str">
        <f>IFERROR(VLOOKUP($B309,[1]Sheet2!$A:$L,12,FALSE()),"")</f>
        <v>Dubai</v>
      </c>
      <c r="R309" s="85">
        <f t="shared" ca="1" si="8"/>
        <v>139</v>
      </c>
      <c r="S309" s="86" t="str">
        <f t="shared" ca="1" si="9"/>
        <v>✓ OK</v>
      </c>
    </row>
    <row r="310" spans="1:19" ht="15.75" customHeight="1">
      <c r="A310" s="75">
        <v>315</v>
      </c>
      <c r="B310" s="76" t="s">
        <v>726</v>
      </c>
      <c r="C310" s="77" t="s">
        <v>725</v>
      </c>
      <c r="D310" s="77"/>
      <c r="E310" s="78" t="s">
        <v>6</v>
      </c>
      <c r="F310" s="77" t="s">
        <v>47</v>
      </c>
      <c r="G310" s="79" t="s">
        <v>684</v>
      </c>
      <c r="H310" s="78"/>
      <c r="I310" s="78"/>
      <c r="J310" s="78" t="s">
        <v>724</v>
      </c>
      <c r="K310" s="81" t="s">
        <v>2</v>
      </c>
      <c r="L310" s="82">
        <f>IFERROR(VLOOKUP($B310,[1]Sheet2!$A:$L,11,FALSE()),"")</f>
        <v>45993</v>
      </c>
      <c r="M310" s="96">
        <v>46386</v>
      </c>
      <c r="N310" s="97">
        <v>46386</v>
      </c>
      <c r="O310" s="78" t="s">
        <v>181</v>
      </c>
      <c r="P310" s="78"/>
      <c r="Q310" s="78" t="str">
        <f>IFERROR(VLOOKUP($B310,[1]Sheet2!$A:$L,12,FALSE()),"")</f>
        <v>Dubai</v>
      </c>
      <c r="R310" s="85">
        <f t="shared" ca="1" si="8"/>
        <v>139</v>
      </c>
      <c r="S310" s="86" t="str">
        <f t="shared" ca="1" si="9"/>
        <v>✓ OK</v>
      </c>
    </row>
    <row r="311" spans="1:19" ht="15.75" customHeight="1">
      <c r="A311" s="75">
        <v>317</v>
      </c>
      <c r="B311" s="76" t="s">
        <v>723</v>
      </c>
      <c r="C311" s="77" t="s">
        <v>722</v>
      </c>
      <c r="D311" s="77"/>
      <c r="E311" s="78" t="s">
        <v>6</v>
      </c>
      <c r="F311" s="77" t="s">
        <v>47</v>
      </c>
      <c r="G311" s="79" t="s">
        <v>628</v>
      </c>
      <c r="H311" s="78"/>
      <c r="I311" s="78"/>
      <c r="J311" s="78" t="s">
        <v>721</v>
      </c>
      <c r="K311" s="88" t="s">
        <v>42</v>
      </c>
      <c r="L311" s="82">
        <f>IFERROR(VLOOKUP($B311,[1]Sheet2!$A:$L,11,FALSE()),"")</f>
        <v>45994</v>
      </c>
      <c r="M311" s="90">
        <v>46160</v>
      </c>
      <c r="N311" s="78" t="s">
        <v>133</v>
      </c>
      <c r="O311" s="78" t="s">
        <v>181</v>
      </c>
      <c r="P311" s="78"/>
      <c r="Q311" s="78" t="str">
        <f>IFERROR(VLOOKUP($B311,[1]Sheet2!$A:$L,12,FALSE()),"")</f>
        <v>Dubai</v>
      </c>
      <c r="R311" s="85">
        <f t="shared" ca="1" si="8"/>
        <v>-87</v>
      </c>
      <c r="S311" s="86" t="str">
        <f t="shared" ca="1" si="9"/>
        <v>EXPIRED</v>
      </c>
    </row>
    <row r="312" spans="1:19" ht="15.75" customHeight="1">
      <c r="A312" s="75">
        <v>318</v>
      </c>
      <c r="B312" s="76" t="s">
        <v>720</v>
      </c>
      <c r="C312" s="77" t="s">
        <v>719</v>
      </c>
      <c r="D312" s="77"/>
      <c r="E312" s="78" t="s">
        <v>6</v>
      </c>
      <c r="F312" s="77" t="s">
        <v>47</v>
      </c>
      <c r="G312" s="79" t="s">
        <v>634</v>
      </c>
      <c r="H312" s="78"/>
      <c r="I312" s="78"/>
      <c r="J312" s="78" t="s">
        <v>45</v>
      </c>
      <c r="K312" s="81" t="s">
        <v>2</v>
      </c>
      <c r="L312" s="82">
        <f>IFERROR(VLOOKUP($B312,[1]Sheet2!$A:$L,11,FALSE()),"")</f>
        <v>45994</v>
      </c>
      <c r="M312" s="96">
        <v>46386</v>
      </c>
      <c r="N312" s="97">
        <v>46386</v>
      </c>
      <c r="O312" s="78" t="s">
        <v>181</v>
      </c>
      <c r="P312" s="78"/>
      <c r="Q312" s="78" t="str">
        <f>IFERROR(VLOOKUP($B312,[1]Sheet2!$A:$L,12,FALSE()),"")</f>
        <v>Dubai</v>
      </c>
      <c r="R312" s="85">
        <f t="shared" ca="1" si="8"/>
        <v>139</v>
      </c>
      <c r="S312" s="86" t="str">
        <f t="shared" ca="1" si="9"/>
        <v>✓ OK</v>
      </c>
    </row>
    <row r="313" spans="1:19" ht="15.75" customHeight="1">
      <c r="A313" s="75">
        <v>319</v>
      </c>
      <c r="B313" s="76" t="s">
        <v>718</v>
      </c>
      <c r="C313" s="77" t="s">
        <v>717</v>
      </c>
      <c r="D313" s="77"/>
      <c r="E313" s="78" t="s">
        <v>6</v>
      </c>
      <c r="F313" s="77" t="s">
        <v>47</v>
      </c>
      <c r="G313" s="79" t="s">
        <v>634</v>
      </c>
      <c r="H313" s="78"/>
      <c r="I313" s="78"/>
      <c r="J313" s="78" t="s">
        <v>716</v>
      </c>
      <c r="K313" s="88" t="s">
        <v>42</v>
      </c>
      <c r="L313" s="82" t="str">
        <f>IFERROR(VLOOKUP($B313,[1]Sheet2!$A:$L,11,FALSE()),"")</f>
        <v/>
      </c>
      <c r="M313" s="90">
        <v>45621</v>
      </c>
      <c r="N313" s="78" t="s">
        <v>133</v>
      </c>
      <c r="O313" s="78" t="s">
        <v>41</v>
      </c>
      <c r="P313" s="78"/>
      <c r="Q313" s="78" t="str">
        <f>IFERROR(VLOOKUP($B313,[1]Sheet2!$A:$L,12,FALSE()),"")</f>
        <v/>
      </c>
      <c r="R313" s="85">
        <f t="shared" ca="1" si="8"/>
        <v>-626</v>
      </c>
      <c r="S313" s="86" t="str">
        <f t="shared" ca="1" si="9"/>
        <v>EXPIRED</v>
      </c>
    </row>
    <row r="314" spans="1:19" ht="15.75" customHeight="1">
      <c r="A314" s="75">
        <v>320</v>
      </c>
      <c r="B314" s="76" t="s">
        <v>715</v>
      </c>
      <c r="C314" s="77" t="s">
        <v>714</v>
      </c>
      <c r="D314" s="77"/>
      <c r="E314" s="78" t="s">
        <v>6</v>
      </c>
      <c r="F314" s="77" t="s">
        <v>47</v>
      </c>
      <c r="G314" s="79" t="s">
        <v>658</v>
      </c>
      <c r="H314" s="78"/>
      <c r="I314" s="78"/>
      <c r="J314" s="78" t="s">
        <v>713</v>
      </c>
      <c r="K314" s="81" t="s">
        <v>42</v>
      </c>
      <c r="L314" s="82" t="str">
        <f>IFERROR(VLOOKUP($B314,[1]Sheet2!$A:$L,11,FALSE()),"")</f>
        <v/>
      </c>
      <c r="M314" s="96">
        <v>46386</v>
      </c>
      <c r="N314" s="89">
        <v>46386</v>
      </c>
      <c r="O314" s="78" t="s">
        <v>181</v>
      </c>
      <c r="P314" s="78"/>
      <c r="Q314" s="78" t="str">
        <f>IFERROR(VLOOKUP($B314,[1]Sheet2!$A:$L,12,FALSE()),"")</f>
        <v/>
      </c>
      <c r="R314" s="85">
        <f t="shared" ca="1" si="8"/>
        <v>139</v>
      </c>
      <c r="S314" s="86" t="str">
        <f t="shared" ca="1" si="9"/>
        <v>✓ OK</v>
      </c>
    </row>
    <row r="315" spans="1:19" ht="15.75" customHeight="1">
      <c r="A315" s="75">
        <v>321</v>
      </c>
      <c r="B315" s="76" t="s">
        <v>712</v>
      </c>
      <c r="C315" s="77" t="s">
        <v>711</v>
      </c>
      <c r="D315" s="77"/>
      <c r="E315" s="78" t="s">
        <v>6</v>
      </c>
      <c r="F315" s="77" t="s">
        <v>47</v>
      </c>
      <c r="G315" s="79" t="s">
        <v>640</v>
      </c>
      <c r="H315" s="78"/>
      <c r="I315" s="78"/>
      <c r="J315" s="78" t="s">
        <v>710</v>
      </c>
      <c r="K315" s="81" t="s">
        <v>2</v>
      </c>
      <c r="L315" s="82">
        <f>IFERROR(VLOOKUP($B315,[1]Sheet2!$A:$L,11,FALSE()),"")</f>
        <v>45996</v>
      </c>
      <c r="M315" s="96">
        <v>46386</v>
      </c>
      <c r="N315" s="97">
        <v>46386</v>
      </c>
      <c r="O315" s="78" t="s">
        <v>181</v>
      </c>
      <c r="P315" s="78"/>
      <c r="Q315" s="78" t="str">
        <f>IFERROR(VLOOKUP($B315,[1]Sheet2!$A:$L,12,FALSE()),"")</f>
        <v>Dubai</v>
      </c>
      <c r="R315" s="85">
        <f t="shared" ca="1" si="8"/>
        <v>139</v>
      </c>
      <c r="S315" s="86" t="str">
        <f t="shared" ca="1" si="9"/>
        <v>✓ OK</v>
      </c>
    </row>
    <row r="316" spans="1:19" ht="15.75" customHeight="1">
      <c r="A316" s="75">
        <v>322</v>
      </c>
      <c r="B316" s="76" t="s">
        <v>709</v>
      </c>
      <c r="C316" s="77" t="s">
        <v>708</v>
      </c>
      <c r="D316" s="77"/>
      <c r="E316" s="78" t="s">
        <v>6</v>
      </c>
      <c r="F316" s="77" t="s">
        <v>47</v>
      </c>
      <c r="G316" s="79" t="s">
        <v>658</v>
      </c>
      <c r="H316" s="78"/>
      <c r="I316" s="78"/>
      <c r="J316" s="78" t="s">
        <v>707</v>
      </c>
      <c r="K316" s="88" t="s">
        <v>42</v>
      </c>
      <c r="L316" s="82" t="str">
        <f>IFERROR(VLOOKUP($B316,[1]Sheet2!$A:$L,11,FALSE()),"")</f>
        <v/>
      </c>
      <c r="M316" s="83">
        <v>45656</v>
      </c>
      <c r="N316" s="78" t="s">
        <v>133</v>
      </c>
      <c r="O316" s="78" t="s">
        <v>706</v>
      </c>
      <c r="P316" s="78"/>
      <c r="Q316" s="78" t="str">
        <f>IFERROR(VLOOKUP($B316,[1]Sheet2!$A:$L,12,FALSE()),"")</f>
        <v/>
      </c>
      <c r="R316" s="85">
        <f t="shared" ca="1" si="8"/>
        <v>-591</v>
      </c>
      <c r="S316" s="86" t="str">
        <f t="shared" ca="1" si="9"/>
        <v>EXPIRED</v>
      </c>
    </row>
    <row r="317" spans="1:19" ht="15.75" customHeight="1">
      <c r="A317" s="75">
        <v>323</v>
      </c>
      <c r="B317" s="76" t="s">
        <v>705</v>
      </c>
      <c r="C317" s="77" t="s">
        <v>704</v>
      </c>
      <c r="D317" s="77"/>
      <c r="E317" s="78" t="s">
        <v>6</v>
      </c>
      <c r="F317" s="77" t="s">
        <v>47</v>
      </c>
      <c r="G317" s="79" t="s">
        <v>634</v>
      </c>
      <c r="H317" s="78"/>
      <c r="I317" s="78"/>
      <c r="J317" s="78" t="s">
        <v>45</v>
      </c>
      <c r="K317" s="81" t="s">
        <v>2</v>
      </c>
      <c r="L317" s="82">
        <f>IFERROR(VLOOKUP($B317,[1]Sheet2!$A:$L,11,FALSE()),"")</f>
        <v>45996</v>
      </c>
      <c r="M317" s="96">
        <v>46386</v>
      </c>
      <c r="N317" s="97">
        <v>46386</v>
      </c>
      <c r="O317" s="78" t="s">
        <v>181</v>
      </c>
      <c r="P317" s="78"/>
      <c r="Q317" s="78" t="str">
        <f>IFERROR(VLOOKUP($B317,[1]Sheet2!$A:$L,12,FALSE()),"")</f>
        <v>Dubai</v>
      </c>
      <c r="R317" s="85">
        <f t="shared" ca="1" si="8"/>
        <v>139</v>
      </c>
      <c r="S317" s="86" t="str">
        <f t="shared" ca="1" si="9"/>
        <v>✓ OK</v>
      </c>
    </row>
    <row r="318" spans="1:19" ht="15.75" customHeight="1">
      <c r="A318" s="75">
        <v>324</v>
      </c>
      <c r="B318" s="76" t="s">
        <v>703</v>
      </c>
      <c r="C318" s="77" t="s">
        <v>702</v>
      </c>
      <c r="D318" s="77"/>
      <c r="E318" s="78" t="s">
        <v>6</v>
      </c>
      <c r="F318" s="77" t="s">
        <v>47</v>
      </c>
      <c r="G318" s="79" t="s">
        <v>634</v>
      </c>
      <c r="H318" s="78"/>
      <c r="I318" s="78"/>
      <c r="J318" s="78" t="s">
        <v>701</v>
      </c>
      <c r="K318" s="88" t="s">
        <v>42</v>
      </c>
      <c r="L318" s="82" t="str">
        <f>IFERROR(VLOOKUP($B318,[1]Sheet2!$A:$L,11,FALSE()),"")</f>
        <v/>
      </c>
      <c r="M318" s="90">
        <v>45630</v>
      </c>
      <c r="N318" s="78" t="s">
        <v>133</v>
      </c>
      <c r="O318" s="78" t="s">
        <v>687</v>
      </c>
      <c r="P318" s="78"/>
      <c r="Q318" s="78" t="str">
        <f>IFERROR(VLOOKUP($B318,[1]Sheet2!$A:$L,12,FALSE()),"")</f>
        <v/>
      </c>
      <c r="R318" s="85">
        <f t="shared" ca="1" si="8"/>
        <v>-617</v>
      </c>
      <c r="S318" s="86" t="str">
        <f t="shared" ca="1" si="9"/>
        <v>EXPIRED</v>
      </c>
    </row>
    <row r="319" spans="1:19" ht="15.75" customHeight="1">
      <c r="A319" s="75">
        <v>325</v>
      </c>
      <c r="B319" s="76" t="s">
        <v>700</v>
      </c>
      <c r="C319" s="77" t="s">
        <v>699</v>
      </c>
      <c r="D319" s="77"/>
      <c r="E319" s="78" t="s">
        <v>6</v>
      </c>
      <c r="F319" s="77" t="s">
        <v>47</v>
      </c>
      <c r="G319" s="79" t="s">
        <v>684</v>
      </c>
      <c r="H319" s="78"/>
      <c r="I319" s="78"/>
      <c r="J319" s="78" t="s">
        <v>698</v>
      </c>
      <c r="K319" s="81" t="s">
        <v>2</v>
      </c>
      <c r="L319" s="82">
        <f>IFERROR(VLOOKUP($B319,[1]Sheet2!$A:$L,11,FALSE()),"")</f>
        <v>45995</v>
      </c>
      <c r="M319" s="96">
        <v>46386</v>
      </c>
      <c r="N319" s="97">
        <v>46386</v>
      </c>
      <c r="O319" s="78" t="s">
        <v>181</v>
      </c>
      <c r="P319" s="78"/>
      <c r="Q319" s="78" t="str">
        <f>IFERROR(VLOOKUP($B319,[1]Sheet2!$A:$L,12,FALSE()),"")</f>
        <v>Dubai</v>
      </c>
      <c r="R319" s="85">
        <f t="shared" ca="1" si="8"/>
        <v>139</v>
      </c>
      <c r="S319" s="86" t="str">
        <f t="shared" ca="1" si="9"/>
        <v>✓ OK</v>
      </c>
    </row>
    <row r="320" spans="1:19" ht="15.75" customHeight="1">
      <c r="A320" s="75">
        <v>326</v>
      </c>
      <c r="B320" s="76" t="s">
        <v>697</v>
      </c>
      <c r="C320" s="77" t="s">
        <v>696</v>
      </c>
      <c r="D320" s="77"/>
      <c r="E320" s="78" t="s">
        <v>6</v>
      </c>
      <c r="F320" s="77" t="s">
        <v>47</v>
      </c>
      <c r="G320" s="79" t="s">
        <v>634</v>
      </c>
      <c r="H320" s="78"/>
      <c r="I320" s="78"/>
      <c r="J320" s="78" t="s">
        <v>695</v>
      </c>
      <c r="K320" s="81" t="s">
        <v>2</v>
      </c>
      <c r="L320" s="82">
        <f>IFERROR(VLOOKUP($B320,[1]Sheet2!$A:$L,11,FALSE()),"")</f>
        <v>45996</v>
      </c>
      <c r="M320" s="96">
        <v>46386</v>
      </c>
      <c r="N320" s="97">
        <v>46386</v>
      </c>
      <c r="O320" s="78" t="s">
        <v>181</v>
      </c>
      <c r="P320" s="78"/>
      <c r="Q320" s="78" t="str">
        <f>IFERROR(VLOOKUP($B320,[1]Sheet2!$A:$L,12,FALSE()),"")</f>
        <v>Dubai</v>
      </c>
      <c r="R320" s="85">
        <f t="shared" ca="1" si="8"/>
        <v>139</v>
      </c>
      <c r="S320" s="86" t="str">
        <f t="shared" ca="1" si="9"/>
        <v>✓ OK</v>
      </c>
    </row>
    <row r="321" spans="1:19" ht="15.75" customHeight="1">
      <c r="A321" s="75">
        <v>327</v>
      </c>
      <c r="B321" s="76" t="s">
        <v>694</v>
      </c>
      <c r="C321" s="77" t="s">
        <v>693</v>
      </c>
      <c r="D321" s="77"/>
      <c r="E321" s="78" t="s">
        <v>6</v>
      </c>
      <c r="F321" s="77" t="s">
        <v>47</v>
      </c>
      <c r="G321" s="79" t="s">
        <v>634</v>
      </c>
      <c r="H321" s="78"/>
      <c r="I321" s="78"/>
      <c r="J321" s="78" t="s">
        <v>692</v>
      </c>
      <c r="K321" s="81" t="s">
        <v>2</v>
      </c>
      <c r="L321" s="82">
        <f>IFERROR(VLOOKUP($B321,[1]Sheet2!$A:$L,11,FALSE()),"")</f>
        <v>45993</v>
      </c>
      <c r="M321" s="96">
        <v>46386</v>
      </c>
      <c r="N321" s="97">
        <v>46386</v>
      </c>
      <c r="O321" s="78" t="s">
        <v>181</v>
      </c>
      <c r="P321" s="78"/>
      <c r="Q321" s="78" t="str">
        <f>IFERROR(VLOOKUP($B321,[1]Sheet2!$A:$L,12,FALSE()),"")</f>
        <v>Dubai</v>
      </c>
      <c r="R321" s="85">
        <f t="shared" ca="1" si="8"/>
        <v>139</v>
      </c>
      <c r="S321" s="86" t="str">
        <f t="shared" ca="1" si="9"/>
        <v>✓ OK</v>
      </c>
    </row>
    <row r="322" spans="1:19" ht="15.75" customHeight="1">
      <c r="A322" s="75">
        <v>328</v>
      </c>
      <c r="B322" s="76" t="s">
        <v>691</v>
      </c>
      <c r="C322" s="77" t="s">
        <v>690</v>
      </c>
      <c r="D322" s="77"/>
      <c r="E322" s="78" t="s">
        <v>6</v>
      </c>
      <c r="F322" s="77" t="s">
        <v>47</v>
      </c>
      <c r="G322" s="79" t="s">
        <v>628</v>
      </c>
      <c r="H322" s="78"/>
      <c r="I322" s="78"/>
      <c r="J322" s="78" t="s">
        <v>676</v>
      </c>
      <c r="K322" s="81" t="s">
        <v>2</v>
      </c>
      <c r="L322" s="82">
        <f>IFERROR(VLOOKUP($B322,[1]Sheet2!$A:$L,11,FALSE()),"")</f>
        <v>45998</v>
      </c>
      <c r="M322" s="96">
        <v>46386</v>
      </c>
      <c r="N322" s="97">
        <v>46386</v>
      </c>
      <c r="O322" s="78" t="s">
        <v>181</v>
      </c>
      <c r="P322" s="78"/>
      <c r="Q322" s="78" t="str">
        <f>IFERROR(VLOOKUP($B322,[1]Sheet2!$A:$L,12,FALSE()),"")</f>
        <v>Dubai</v>
      </c>
      <c r="R322" s="85">
        <f t="shared" ref="R322:R385" ca="1" si="10">IF(ISNUMBER(M322),INT(M322)-INT(TODAY()),"")</f>
        <v>139</v>
      </c>
      <c r="S322" s="86" t="str">
        <f t="shared" ref="S322:S385" ca="1" si="11">IF(R322="","—",IF(R322&lt;0,"EXPIRED",IF(R322&lt;=30,"⚠ EXPIRES SOON",IF(R322&lt;=90,"⚡ 90 Days","✓ OK"))))</f>
        <v>✓ OK</v>
      </c>
    </row>
    <row r="323" spans="1:19" ht="15.75" customHeight="1">
      <c r="A323" s="75">
        <v>329</v>
      </c>
      <c r="B323" s="76" t="s">
        <v>689</v>
      </c>
      <c r="C323" s="77" t="s">
        <v>688</v>
      </c>
      <c r="D323" s="77"/>
      <c r="E323" s="78" t="s">
        <v>6</v>
      </c>
      <c r="F323" s="77" t="s">
        <v>47</v>
      </c>
      <c r="G323" s="79" t="s">
        <v>135</v>
      </c>
      <c r="H323" s="78"/>
      <c r="I323" s="78"/>
      <c r="J323" s="78"/>
      <c r="K323" s="88" t="s">
        <v>42</v>
      </c>
      <c r="L323" s="82" t="str">
        <f>IFERROR(VLOOKUP($B323,[1]Sheet2!$A:$L,11,FALSE()),"")</f>
        <v/>
      </c>
      <c r="M323" s="90">
        <v>45639</v>
      </c>
      <c r="N323" s="78" t="s">
        <v>133</v>
      </c>
      <c r="O323" s="78" t="s">
        <v>687</v>
      </c>
      <c r="P323" s="78"/>
      <c r="Q323" s="78" t="str">
        <f>IFERROR(VLOOKUP($B323,[1]Sheet2!$A:$L,12,FALSE()),"")</f>
        <v/>
      </c>
      <c r="R323" s="85">
        <f t="shared" ca="1" si="10"/>
        <v>-608</v>
      </c>
      <c r="S323" s="86" t="str">
        <f t="shared" ca="1" si="11"/>
        <v>EXPIRED</v>
      </c>
    </row>
    <row r="324" spans="1:19" ht="15.75" customHeight="1">
      <c r="A324" s="75">
        <v>330</v>
      </c>
      <c r="B324" s="76" t="s">
        <v>686</v>
      </c>
      <c r="C324" s="77" t="s">
        <v>685</v>
      </c>
      <c r="D324" s="77"/>
      <c r="E324" s="78" t="s">
        <v>6</v>
      </c>
      <c r="F324" s="77" t="s">
        <v>47</v>
      </c>
      <c r="G324" s="79" t="s">
        <v>684</v>
      </c>
      <c r="H324" s="78"/>
      <c r="I324" s="78"/>
      <c r="J324" s="78" t="s">
        <v>683</v>
      </c>
      <c r="K324" s="81" t="s">
        <v>2</v>
      </c>
      <c r="L324" s="82">
        <f>IFERROR(VLOOKUP($B324,[1]Sheet2!$A:$L,11,FALSE()),"")</f>
        <v>45994</v>
      </c>
      <c r="M324" s="96">
        <v>46386</v>
      </c>
      <c r="N324" s="97">
        <v>46386</v>
      </c>
      <c r="O324" s="78" t="s">
        <v>181</v>
      </c>
      <c r="P324" s="78"/>
      <c r="Q324" s="78" t="str">
        <f>IFERROR(VLOOKUP($B324,[1]Sheet2!$A:$L,12,FALSE()),"")</f>
        <v>Dubai</v>
      </c>
      <c r="R324" s="85">
        <f t="shared" ca="1" si="10"/>
        <v>139</v>
      </c>
      <c r="S324" s="86" t="str">
        <f t="shared" ca="1" si="11"/>
        <v>✓ OK</v>
      </c>
    </row>
    <row r="325" spans="1:19" ht="15.75" customHeight="1">
      <c r="A325" s="75">
        <v>331</v>
      </c>
      <c r="B325" s="76" t="s">
        <v>682</v>
      </c>
      <c r="C325" s="77" t="s">
        <v>681</v>
      </c>
      <c r="D325" s="77"/>
      <c r="E325" s="78" t="s">
        <v>6</v>
      </c>
      <c r="F325" s="77" t="s">
        <v>47</v>
      </c>
      <c r="G325" s="79" t="s">
        <v>135</v>
      </c>
      <c r="H325" s="78"/>
      <c r="I325" s="78"/>
      <c r="J325" s="78" t="s">
        <v>680</v>
      </c>
      <c r="K325" s="88" t="s">
        <v>42</v>
      </c>
      <c r="L325" s="82" t="str">
        <f>IFERROR(VLOOKUP($B325,[1]Sheet2!$A:$L,11,FALSE()),"")</f>
        <v/>
      </c>
      <c r="M325" s="83">
        <v>45883</v>
      </c>
      <c r="N325" s="78" t="s">
        <v>133</v>
      </c>
      <c r="O325" s="78" t="s">
        <v>679</v>
      </c>
      <c r="P325" s="78"/>
      <c r="Q325" s="78" t="str">
        <f>IFERROR(VLOOKUP($B325,[1]Sheet2!$A:$L,12,FALSE()),"")</f>
        <v/>
      </c>
      <c r="R325" s="85">
        <f t="shared" ca="1" si="10"/>
        <v>-364</v>
      </c>
      <c r="S325" s="86" t="str">
        <f t="shared" ca="1" si="11"/>
        <v>EXPIRED</v>
      </c>
    </row>
    <row r="326" spans="1:19" ht="15.75" customHeight="1">
      <c r="A326" s="75">
        <v>332</v>
      </c>
      <c r="B326" s="76" t="s">
        <v>678</v>
      </c>
      <c r="C326" s="77" t="s">
        <v>677</v>
      </c>
      <c r="D326" s="77"/>
      <c r="E326" s="78" t="s">
        <v>6</v>
      </c>
      <c r="F326" s="77" t="s">
        <v>47</v>
      </c>
      <c r="G326" s="79" t="s">
        <v>628</v>
      </c>
      <c r="H326" s="78"/>
      <c r="I326" s="78"/>
      <c r="J326" s="78" t="s">
        <v>676</v>
      </c>
      <c r="K326" s="88" t="s">
        <v>42</v>
      </c>
      <c r="L326" s="82">
        <f>IFERROR(VLOOKUP($B326,[1]Sheet2!$A:$L,11,FALSE()),"")</f>
        <v>45030</v>
      </c>
      <c r="M326" s="90">
        <v>46101</v>
      </c>
      <c r="N326" s="78" t="s">
        <v>133</v>
      </c>
      <c r="O326" s="78" t="s">
        <v>181</v>
      </c>
      <c r="P326" s="78"/>
      <c r="Q326" s="78" t="str">
        <f>IFERROR(VLOOKUP($B326,[1]Sheet2!$A:$L,12,FALSE()),"")</f>
        <v>Dubai</v>
      </c>
      <c r="R326" s="85">
        <f t="shared" ca="1" si="10"/>
        <v>-146</v>
      </c>
      <c r="S326" s="86" t="str">
        <f t="shared" ca="1" si="11"/>
        <v>EXPIRED</v>
      </c>
    </row>
    <row r="327" spans="1:19" s="66" customFormat="1" ht="15.75" customHeight="1">
      <c r="A327" s="75">
        <v>333</v>
      </c>
      <c r="B327" s="76" t="s">
        <v>675</v>
      </c>
      <c r="C327" s="77" t="s">
        <v>674</v>
      </c>
      <c r="D327" s="77"/>
      <c r="E327" s="78" t="s">
        <v>6</v>
      </c>
      <c r="F327" s="77" t="s">
        <v>47</v>
      </c>
      <c r="G327" s="79" t="s">
        <v>658</v>
      </c>
      <c r="H327" s="78"/>
      <c r="I327" s="78"/>
      <c r="J327" s="78" t="s">
        <v>673</v>
      </c>
      <c r="K327" s="81" t="s">
        <v>2</v>
      </c>
      <c r="L327" s="82">
        <f>IFERROR(VLOOKUP($B327,[1]Sheet2!$A:$L,11,FALSE()),"")</f>
        <v>45994</v>
      </c>
      <c r="M327" s="96">
        <v>46386</v>
      </c>
      <c r="N327" s="97">
        <v>46386</v>
      </c>
      <c r="O327" s="78" t="s">
        <v>181</v>
      </c>
      <c r="P327" s="78"/>
      <c r="Q327" s="78" t="str">
        <f>IFERROR(VLOOKUP($B327,[1]Sheet2!$A:$L,12,FALSE()),"")</f>
        <v>Dubai</v>
      </c>
      <c r="R327" s="85">
        <f t="shared" ca="1" si="10"/>
        <v>139</v>
      </c>
      <c r="S327" s="86" t="str">
        <f t="shared" ca="1" si="11"/>
        <v>✓ OK</v>
      </c>
    </row>
    <row r="328" spans="1:19" ht="15.75" customHeight="1">
      <c r="A328" s="75">
        <v>334</v>
      </c>
      <c r="B328" s="76" t="s">
        <v>672</v>
      </c>
      <c r="C328" s="77" t="s">
        <v>671</v>
      </c>
      <c r="D328" s="77"/>
      <c r="E328" s="78" t="s">
        <v>6</v>
      </c>
      <c r="F328" s="77" t="s">
        <v>47</v>
      </c>
      <c r="G328" s="79" t="s">
        <v>628</v>
      </c>
      <c r="H328" s="78"/>
      <c r="I328" s="78"/>
      <c r="J328" s="78" t="s">
        <v>670</v>
      </c>
      <c r="K328" s="81" t="s">
        <v>2</v>
      </c>
      <c r="L328" s="82">
        <f>IFERROR(VLOOKUP($B328,[1]Sheet2!$A:$L,11,FALSE()),"")</f>
        <v>45988</v>
      </c>
      <c r="M328" s="96">
        <v>46386</v>
      </c>
      <c r="N328" s="97">
        <v>46386</v>
      </c>
      <c r="O328" s="78" t="s">
        <v>181</v>
      </c>
      <c r="P328" s="78"/>
      <c r="Q328" s="78" t="str">
        <f>IFERROR(VLOOKUP($B328,[1]Sheet2!$A:$L,12,FALSE()),"")</f>
        <v>Dubai</v>
      </c>
      <c r="R328" s="85">
        <f t="shared" ca="1" si="10"/>
        <v>139</v>
      </c>
      <c r="S328" s="86" t="str">
        <f t="shared" ca="1" si="11"/>
        <v>✓ OK</v>
      </c>
    </row>
    <row r="329" spans="1:19" ht="15.75" customHeight="1">
      <c r="A329" s="75">
        <v>335</v>
      </c>
      <c r="B329" s="76" t="s">
        <v>669</v>
      </c>
      <c r="C329" s="77" t="s">
        <v>668</v>
      </c>
      <c r="D329" s="77"/>
      <c r="E329" s="78" t="s">
        <v>6</v>
      </c>
      <c r="F329" s="77" t="s">
        <v>47</v>
      </c>
      <c r="G329" s="79" t="s">
        <v>634</v>
      </c>
      <c r="H329" s="78"/>
      <c r="I329" s="78"/>
      <c r="J329" s="78" t="s">
        <v>667</v>
      </c>
      <c r="K329" s="81" t="s">
        <v>2</v>
      </c>
      <c r="L329" s="82">
        <f>IFERROR(VLOOKUP($B329,[1]Sheet2!$A:$L,11,FALSE()),"")</f>
        <v>45993</v>
      </c>
      <c r="M329" s="96">
        <v>46386</v>
      </c>
      <c r="N329" s="97">
        <v>46386</v>
      </c>
      <c r="O329" s="78" t="s">
        <v>181</v>
      </c>
      <c r="P329" s="78"/>
      <c r="Q329" s="78" t="str">
        <f>IFERROR(VLOOKUP($B329,[1]Sheet2!$A:$L,12,FALSE()),"")</f>
        <v>Dubai</v>
      </c>
      <c r="R329" s="85">
        <f t="shared" ca="1" si="10"/>
        <v>139</v>
      </c>
      <c r="S329" s="86" t="str">
        <f t="shared" ca="1" si="11"/>
        <v>✓ OK</v>
      </c>
    </row>
    <row r="330" spans="1:19" ht="15.75" customHeight="1">
      <c r="A330" s="75">
        <v>336</v>
      </c>
      <c r="B330" s="76" t="s">
        <v>666</v>
      </c>
      <c r="C330" s="77" t="s">
        <v>665</v>
      </c>
      <c r="D330" s="77"/>
      <c r="E330" s="78" t="s">
        <v>6</v>
      </c>
      <c r="F330" s="77" t="s">
        <v>47</v>
      </c>
      <c r="G330" s="79" t="s">
        <v>628</v>
      </c>
      <c r="H330" s="78"/>
      <c r="I330" s="78"/>
      <c r="J330" s="78" t="s">
        <v>664</v>
      </c>
      <c r="K330" s="81" t="s">
        <v>2</v>
      </c>
      <c r="L330" s="82">
        <f>IFERROR(VLOOKUP($B330,[1]Sheet2!$A:$L,11,FALSE()),"")</f>
        <v>45998</v>
      </c>
      <c r="M330" s="96">
        <v>46386</v>
      </c>
      <c r="N330" s="97">
        <v>46386</v>
      </c>
      <c r="O330" s="78" t="s">
        <v>181</v>
      </c>
      <c r="P330" s="78"/>
      <c r="Q330" s="78" t="str">
        <f>IFERROR(VLOOKUP($B330,[1]Sheet2!$A:$L,12,FALSE()),"")</f>
        <v>Dubai</v>
      </c>
      <c r="R330" s="85">
        <f t="shared" ca="1" si="10"/>
        <v>139</v>
      </c>
      <c r="S330" s="86" t="str">
        <f t="shared" ca="1" si="11"/>
        <v>✓ OK</v>
      </c>
    </row>
    <row r="331" spans="1:19" ht="15.75" customHeight="1">
      <c r="A331" s="75">
        <v>338</v>
      </c>
      <c r="B331" s="76" t="s">
        <v>663</v>
      </c>
      <c r="C331" s="77" t="s">
        <v>662</v>
      </c>
      <c r="D331" s="77" t="s">
        <v>641</v>
      </c>
      <c r="E331" s="78" t="s">
        <v>6</v>
      </c>
      <c r="F331" s="77" t="s">
        <v>47</v>
      </c>
      <c r="G331" s="79" t="s">
        <v>135</v>
      </c>
      <c r="H331" s="78"/>
      <c r="I331" s="78"/>
      <c r="J331" s="78" t="s">
        <v>661</v>
      </c>
      <c r="K331" s="81" t="s">
        <v>2</v>
      </c>
      <c r="L331" s="82">
        <f>IFERROR(VLOOKUP($B331,[1]Sheet2!$A:$L,11,FALSE()),"")</f>
        <v>46032</v>
      </c>
      <c r="M331" s="96">
        <v>46386</v>
      </c>
      <c r="N331" s="97">
        <v>46386</v>
      </c>
      <c r="O331" s="78" t="s">
        <v>1</v>
      </c>
      <c r="P331" s="78"/>
      <c r="Q331" s="78" t="str">
        <f>IFERROR(VLOOKUP($B331,[1]Sheet2!$A:$L,12,FALSE()),"")</f>
        <v>Dubai</v>
      </c>
      <c r="R331" s="85">
        <f t="shared" ca="1" si="10"/>
        <v>139</v>
      </c>
      <c r="S331" s="86" t="str">
        <f t="shared" ca="1" si="11"/>
        <v>✓ OK</v>
      </c>
    </row>
    <row r="332" spans="1:19" ht="15.75" customHeight="1">
      <c r="A332" s="75">
        <v>339</v>
      </c>
      <c r="B332" s="76" t="s">
        <v>660</v>
      </c>
      <c r="C332" s="77" t="s">
        <v>659</v>
      </c>
      <c r="D332" s="77" t="s">
        <v>641</v>
      </c>
      <c r="E332" s="78" t="s">
        <v>6</v>
      </c>
      <c r="F332" s="77" t="s">
        <v>47</v>
      </c>
      <c r="G332" s="79" t="s">
        <v>658</v>
      </c>
      <c r="H332" s="78"/>
      <c r="I332" s="78"/>
      <c r="J332" s="78" t="s">
        <v>637</v>
      </c>
      <c r="K332" s="81" t="s">
        <v>2</v>
      </c>
      <c r="L332" s="82">
        <f>IFERROR(VLOOKUP($B332,[1]Sheet2!$A:$L,11,FALSE()),"")</f>
        <v>46049</v>
      </c>
      <c r="M332" s="96">
        <v>46386</v>
      </c>
      <c r="N332" s="97">
        <v>46386</v>
      </c>
      <c r="O332" s="78" t="s">
        <v>1</v>
      </c>
      <c r="P332" s="78"/>
      <c r="Q332" s="78" t="str">
        <f>IFERROR(VLOOKUP($B332,[1]Sheet2!$A:$L,12,FALSE()),"")</f>
        <v>Dubai</v>
      </c>
      <c r="R332" s="85">
        <f t="shared" ca="1" si="10"/>
        <v>139</v>
      </c>
      <c r="S332" s="86" t="str">
        <f t="shared" ca="1" si="11"/>
        <v>✓ OK</v>
      </c>
    </row>
    <row r="333" spans="1:19" ht="15.75" customHeight="1">
      <c r="A333" s="75">
        <v>340</v>
      </c>
      <c r="B333" s="76" t="s">
        <v>657</v>
      </c>
      <c r="C333" s="77" t="s">
        <v>656</v>
      </c>
      <c r="D333" s="77" t="s">
        <v>641</v>
      </c>
      <c r="E333" s="78" t="s">
        <v>6</v>
      </c>
      <c r="F333" s="77" t="s">
        <v>53</v>
      </c>
      <c r="G333" s="79"/>
      <c r="H333" s="99" t="s">
        <v>655</v>
      </c>
      <c r="I333" s="78" t="s">
        <v>638</v>
      </c>
      <c r="J333" s="78" t="s">
        <v>654</v>
      </c>
      <c r="K333" s="81" t="s">
        <v>2</v>
      </c>
      <c r="L333" s="82">
        <f>IFERROR(VLOOKUP($B333,[1]Sheet2!$A:$L,11,FALSE()),"")</f>
        <v>46049</v>
      </c>
      <c r="M333" s="83">
        <v>46386</v>
      </c>
      <c r="N333" s="84">
        <v>46386</v>
      </c>
      <c r="O333" s="78" t="s">
        <v>1</v>
      </c>
      <c r="P333" s="78"/>
      <c r="Q333" s="78" t="str">
        <f>IFERROR(VLOOKUP($B333,[1]Sheet2!$A:$L,12,FALSE()),"")</f>
        <v>Dubai</v>
      </c>
      <c r="R333" s="85">
        <f t="shared" ca="1" si="10"/>
        <v>139</v>
      </c>
      <c r="S333" s="86" t="str">
        <f t="shared" ca="1" si="11"/>
        <v>✓ OK</v>
      </c>
    </row>
    <row r="334" spans="1:19" ht="15.75" customHeight="1">
      <c r="A334" s="75">
        <v>341</v>
      </c>
      <c r="B334" s="76" t="s">
        <v>653</v>
      </c>
      <c r="C334" s="77" t="s">
        <v>652</v>
      </c>
      <c r="D334" s="77"/>
      <c r="E334" s="78" t="s">
        <v>6</v>
      </c>
      <c r="F334" s="77" t="s">
        <v>272</v>
      </c>
      <c r="G334" s="93" t="s">
        <v>291</v>
      </c>
      <c r="H334" s="78"/>
      <c r="I334" s="78"/>
      <c r="J334" s="78" t="s">
        <v>651</v>
      </c>
      <c r="K334" s="88" t="s">
        <v>42</v>
      </c>
      <c r="L334" s="82" t="str">
        <f>IFERROR(VLOOKUP($B334,[1]Sheet2!$A:$L,11,FALSE()),"")</f>
        <v/>
      </c>
      <c r="M334" s="91">
        <v>46065</v>
      </c>
      <c r="N334" s="78" t="s">
        <v>133</v>
      </c>
      <c r="O334" s="78" t="s">
        <v>41</v>
      </c>
      <c r="P334" s="78"/>
      <c r="Q334" s="78" t="str">
        <f>IFERROR(VLOOKUP($B334,[1]Sheet2!$A:$L,12,FALSE()),"")</f>
        <v/>
      </c>
      <c r="R334" s="85">
        <f t="shared" ca="1" si="10"/>
        <v>-182</v>
      </c>
      <c r="S334" s="86" t="str">
        <f t="shared" ca="1" si="11"/>
        <v>EXPIRED</v>
      </c>
    </row>
    <row r="335" spans="1:19" ht="15.75" customHeight="1">
      <c r="A335" s="75">
        <v>342</v>
      </c>
      <c r="B335" s="76" t="s">
        <v>650</v>
      </c>
      <c r="C335" s="77" t="s">
        <v>649</v>
      </c>
      <c r="D335" s="77"/>
      <c r="E335" s="78" t="s">
        <v>6</v>
      </c>
      <c r="F335" s="77" t="s">
        <v>53</v>
      </c>
      <c r="G335" s="79"/>
      <c r="H335" s="99" t="s">
        <v>648</v>
      </c>
      <c r="I335" s="78" t="s">
        <v>647</v>
      </c>
      <c r="J335" s="78" t="s">
        <v>646</v>
      </c>
      <c r="K335" s="81" t="s">
        <v>2</v>
      </c>
      <c r="L335" s="82">
        <f>IFERROR(VLOOKUP($B335,[1]Sheet2!$A:$L,11,FALSE()),"")</f>
        <v>46034</v>
      </c>
      <c r="M335" s="83">
        <v>46386</v>
      </c>
      <c r="N335" s="84">
        <v>46386</v>
      </c>
      <c r="O335" s="78" t="s">
        <v>1</v>
      </c>
      <c r="P335" s="78"/>
      <c r="Q335" s="78" t="str">
        <f>IFERROR(VLOOKUP($B335,[1]Sheet2!$A:$L,12,FALSE()),"")</f>
        <v>Dubai</v>
      </c>
      <c r="R335" s="85">
        <f t="shared" ca="1" si="10"/>
        <v>139</v>
      </c>
      <c r="S335" s="86" t="str">
        <f t="shared" ca="1" si="11"/>
        <v>✓ OK</v>
      </c>
    </row>
    <row r="336" spans="1:19" ht="15.75" customHeight="1">
      <c r="A336" s="75">
        <v>343</v>
      </c>
      <c r="B336" s="76" t="s">
        <v>645</v>
      </c>
      <c r="C336" s="77" t="s">
        <v>644</v>
      </c>
      <c r="D336" s="77" t="s">
        <v>54</v>
      </c>
      <c r="E336" s="78" t="s">
        <v>6</v>
      </c>
      <c r="F336" s="77" t="s">
        <v>53</v>
      </c>
      <c r="G336" s="79" t="s">
        <v>52</v>
      </c>
      <c r="H336" s="99" t="s">
        <v>51</v>
      </c>
      <c r="I336" s="78" t="s">
        <v>50</v>
      </c>
      <c r="J336" s="78"/>
      <c r="K336" s="81" t="s">
        <v>2</v>
      </c>
      <c r="L336" s="82">
        <f>IFERROR(VLOOKUP($B336,[1]Sheet2!$A:$L,11,FALSE()),"")</f>
        <v>45993</v>
      </c>
      <c r="M336" s="83">
        <v>46386</v>
      </c>
      <c r="N336" s="84">
        <v>46386</v>
      </c>
      <c r="O336" s="78"/>
      <c r="P336" s="78"/>
      <c r="Q336" s="78" t="str">
        <f>IFERROR(VLOOKUP($B336,[1]Sheet2!$A:$L,12,FALSE()),"")</f>
        <v>Dubai</v>
      </c>
      <c r="R336" s="85">
        <f t="shared" ca="1" si="10"/>
        <v>139</v>
      </c>
      <c r="S336" s="86" t="str">
        <f t="shared" ca="1" si="11"/>
        <v>✓ OK</v>
      </c>
    </row>
    <row r="337" spans="1:19" ht="15.75" customHeight="1">
      <c r="A337" s="75">
        <v>344</v>
      </c>
      <c r="B337" s="76" t="s">
        <v>643</v>
      </c>
      <c r="C337" s="77" t="s">
        <v>642</v>
      </c>
      <c r="D337" s="77" t="s">
        <v>641</v>
      </c>
      <c r="E337" s="78" t="s">
        <v>6</v>
      </c>
      <c r="F337" s="77" t="s">
        <v>47</v>
      </c>
      <c r="G337" s="79" t="s">
        <v>640</v>
      </c>
      <c r="H337" s="99" t="s">
        <v>639</v>
      </c>
      <c r="I337" s="78" t="s">
        <v>638</v>
      </c>
      <c r="J337" s="78" t="s">
        <v>637</v>
      </c>
      <c r="K337" s="81" t="s">
        <v>2</v>
      </c>
      <c r="L337" s="82">
        <f>IFERROR(VLOOKUP($B337,[1]Sheet2!$A:$L,11,FALSE()),"")</f>
        <v>46097</v>
      </c>
      <c r="M337" s="96">
        <v>46386</v>
      </c>
      <c r="N337" s="97">
        <v>46386</v>
      </c>
      <c r="O337" s="78" t="s">
        <v>1</v>
      </c>
      <c r="P337" s="78"/>
      <c r="Q337" s="78" t="str">
        <f>IFERROR(VLOOKUP($B337,[1]Sheet2!$A:$L,12,FALSE()),"")</f>
        <v>Dubai</v>
      </c>
      <c r="R337" s="85">
        <f t="shared" ca="1" si="10"/>
        <v>139</v>
      </c>
      <c r="S337" s="86" t="str">
        <f t="shared" ca="1" si="11"/>
        <v>✓ OK</v>
      </c>
    </row>
    <row r="338" spans="1:19" ht="15.75" customHeight="1">
      <c r="A338" s="75">
        <v>345</v>
      </c>
      <c r="B338" s="76" t="s">
        <v>636</v>
      </c>
      <c r="C338" s="77" t="s">
        <v>635</v>
      </c>
      <c r="D338" s="77"/>
      <c r="E338" s="78" t="s">
        <v>6</v>
      </c>
      <c r="F338" s="77" t="s">
        <v>47</v>
      </c>
      <c r="G338" s="79" t="s">
        <v>634</v>
      </c>
      <c r="H338" s="78"/>
      <c r="I338" s="78"/>
      <c r="J338" s="78" t="s">
        <v>633</v>
      </c>
      <c r="K338" s="81" t="s">
        <v>2</v>
      </c>
      <c r="L338" s="82">
        <f>IFERROR(VLOOKUP($B338,[1]Sheet2!$A:$L,11,FALSE()),"")</f>
        <v>46141</v>
      </c>
      <c r="M338" s="96">
        <v>46386</v>
      </c>
      <c r="N338" s="97">
        <v>46386</v>
      </c>
      <c r="O338" s="78" t="s">
        <v>1</v>
      </c>
      <c r="P338" s="78"/>
      <c r="Q338" s="78" t="str">
        <f>IFERROR(VLOOKUP($B338,[1]Sheet2!$A:$L,12,FALSE()),"")</f>
        <v>Dubai</v>
      </c>
      <c r="R338" s="85">
        <f t="shared" ca="1" si="10"/>
        <v>139</v>
      </c>
      <c r="S338" s="86" t="str">
        <f t="shared" ca="1" si="11"/>
        <v>✓ OK</v>
      </c>
    </row>
    <row r="339" spans="1:19" ht="15.75" customHeight="1">
      <c r="A339" s="75">
        <v>346</v>
      </c>
      <c r="B339" s="76" t="s">
        <v>632</v>
      </c>
      <c r="C339" s="77" t="s">
        <v>631</v>
      </c>
      <c r="D339" s="77"/>
      <c r="E339" s="78" t="s">
        <v>6</v>
      </c>
      <c r="F339" s="77" t="s">
        <v>47</v>
      </c>
      <c r="G339" s="79" t="s">
        <v>135</v>
      </c>
      <c r="H339" s="78"/>
      <c r="I339" s="78"/>
      <c r="J339" s="78" t="s">
        <v>45</v>
      </c>
      <c r="K339" s="81" t="s">
        <v>2</v>
      </c>
      <c r="L339" s="82">
        <f>IFERROR(VLOOKUP($B339,[1]Sheet2!$A:$L,11,FALSE()),"")</f>
        <v>46141</v>
      </c>
      <c r="M339" s="96">
        <v>46386</v>
      </c>
      <c r="N339" s="97">
        <v>46386</v>
      </c>
      <c r="O339" s="78" t="s">
        <v>1</v>
      </c>
      <c r="P339" s="78"/>
      <c r="Q339" s="78" t="str">
        <f>IFERROR(VLOOKUP($B339,[1]Sheet2!$A:$L,12,FALSE()),"")</f>
        <v>Dubai</v>
      </c>
      <c r="R339" s="85">
        <f t="shared" ca="1" si="10"/>
        <v>139</v>
      </c>
      <c r="S339" s="86" t="str">
        <f t="shared" ca="1" si="11"/>
        <v>✓ OK</v>
      </c>
    </row>
    <row r="340" spans="1:19" ht="15.75" customHeight="1">
      <c r="A340" s="75">
        <v>347</v>
      </c>
      <c r="B340" s="76" t="s">
        <v>630</v>
      </c>
      <c r="C340" s="77" t="s">
        <v>629</v>
      </c>
      <c r="D340" s="77"/>
      <c r="E340" s="78" t="s">
        <v>6</v>
      </c>
      <c r="F340" s="77" t="s">
        <v>47</v>
      </c>
      <c r="G340" s="79" t="s">
        <v>628</v>
      </c>
      <c r="H340" s="78"/>
      <c r="I340" s="78"/>
      <c r="J340" s="78" t="s">
        <v>3</v>
      </c>
      <c r="K340" s="81" t="s">
        <v>2</v>
      </c>
      <c r="L340" s="82">
        <f>IFERROR(VLOOKUP($B340,[1]Sheet2!$A:$L,11,FALSE()),"")</f>
        <v>46147</v>
      </c>
      <c r="M340" s="96">
        <v>46386</v>
      </c>
      <c r="N340" s="97">
        <v>46386</v>
      </c>
      <c r="O340" s="78" t="s">
        <v>1</v>
      </c>
      <c r="P340" s="78"/>
      <c r="Q340" s="78" t="str">
        <f>IFERROR(VLOOKUP($B340,[1]Sheet2!$A:$L,12,FALSE()),"")</f>
        <v>Dubai</v>
      </c>
      <c r="R340" s="85">
        <f t="shared" ca="1" si="10"/>
        <v>139</v>
      </c>
      <c r="S340" s="86" t="str">
        <f t="shared" ca="1" si="11"/>
        <v>✓ OK</v>
      </c>
    </row>
    <row r="341" spans="1:19" ht="15.75" customHeight="1">
      <c r="A341" s="75">
        <v>348</v>
      </c>
      <c r="B341" s="76" t="s">
        <v>627</v>
      </c>
      <c r="C341" s="77" t="s">
        <v>626</v>
      </c>
      <c r="D341" s="77" t="s">
        <v>625</v>
      </c>
      <c r="E341" s="78" t="s">
        <v>6</v>
      </c>
      <c r="F341" s="77" t="s">
        <v>47</v>
      </c>
      <c r="G341" s="93" t="s">
        <v>135</v>
      </c>
      <c r="H341" s="78"/>
      <c r="I341" s="78"/>
      <c r="J341" s="78" t="s">
        <v>45</v>
      </c>
      <c r="K341" s="81" t="s">
        <v>2</v>
      </c>
      <c r="L341" s="82">
        <f>IFERROR(VLOOKUP($B341,[1]Sheet2!$A:$L,11,FALSE()),"")</f>
        <v>46153</v>
      </c>
      <c r="M341" s="96">
        <v>46386</v>
      </c>
      <c r="N341" s="97">
        <v>46386</v>
      </c>
      <c r="O341" s="78" t="s">
        <v>1</v>
      </c>
      <c r="P341" s="78"/>
      <c r="Q341" s="78" t="str">
        <f>IFERROR(VLOOKUP($B341,[1]Sheet2!$A:$L,12,FALSE()),"")</f>
        <v>Dubai</v>
      </c>
      <c r="R341" s="85">
        <f t="shared" ca="1" si="10"/>
        <v>139</v>
      </c>
      <c r="S341" s="86" t="str">
        <f t="shared" ca="1" si="11"/>
        <v>✓ OK</v>
      </c>
    </row>
    <row r="342" spans="1:19" ht="15.75" customHeight="1">
      <c r="A342" s="75">
        <v>349</v>
      </c>
      <c r="B342" s="76" t="s">
        <v>624</v>
      </c>
      <c r="C342" s="92" t="s">
        <v>623</v>
      </c>
      <c r="D342" s="77" t="s">
        <v>622</v>
      </c>
      <c r="E342" s="78" t="s">
        <v>6</v>
      </c>
      <c r="F342" s="77" t="s">
        <v>47</v>
      </c>
      <c r="G342" s="93" t="s">
        <v>621</v>
      </c>
      <c r="H342" s="87" t="s">
        <v>620</v>
      </c>
      <c r="I342" s="94" t="s">
        <v>619</v>
      </c>
      <c r="J342" s="78" t="s">
        <v>3</v>
      </c>
      <c r="K342" s="95" t="s">
        <v>2</v>
      </c>
      <c r="L342" s="82">
        <f>IFERROR(VLOOKUP($B342,[1]Sheet2!$A:$L,11,FALSE()),"")</f>
        <v>46164</v>
      </c>
      <c r="M342" s="97">
        <v>46386</v>
      </c>
      <c r="N342" s="97">
        <v>46386</v>
      </c>
      <c r="O342" s="78" t="s">
        <v>1</v>
      </c>
      <c r="P342" s="78"/>
      <c r="Q342" s="78" t="str">
        <f>IFERROR(VLOOKUP($B342,[1]Sheet2!$A:$L,12,FALSE()),"")</f>
        <v>Dubai</v>
      </c>
      <c r="R342" s="85">
        <f t="shared" ca="1" si="10"/>
        <v>139</v>
      </c>
      <c r="S342" s="86" t="str">
        <f t="shared" ca="1" si="11"/>
        <v>✓ OK</v>
      </c>
    </row>
    <row r="343" spans="1:19" ht="15.75" customHeight="1">
      <c r="A343" s="75">
        <v>350</v>
      </c>
      <c r="B343" s="76" t="s">
        <v>618</v>
      </c>
      <c r="C343" s="77" t="s">
        <v>617</v>
      </c>
      <c r="D343" s="77" t="s">
        <v>603</v>
      </c>
      <c r="E343" s="78" t="s">
        <v>6</v>
      </c>
      <c r="F343" s="77" t="s">
        <v>5</v>
      </c>
      <c r="G343" s="79" t="s">
        <v>73</v>
      </c>
      <c r="H343" s="78"/>
      <c r="I343" s="78"/>
      <c r="J343" s="78" t="s">
        <v>602</v>
      </c>
      <c r="K343" s="81" t="s">
        <v>2</v>
      </c>
      <c r="L343" s="82">
        <f>IFERROR(VLOOKUP($B343,[1]Sheet2!$A:$L,11,FALSE()),"")</f>
        <v>45995</v>
      </c>
      <c r="M343" s="83">
        <v>46386</v>
      </c>
      <c r="N343" s="84">
        <v>46386</v>
      </c>
      <c r="O343" s="78" t="s">
        <v>132</v>
      </c>
      <c r="P343" s="78"/>
      <c r="Q343" s="78" t="str">
        <f>IFERROR(VLOOKUP($B343,[1]Sheet2!$A:$L,12,FALSE()),"")</f>
        <v>Dubai</v>
      </c>
      <c r="R343" s="85">
        <f t="shared" ca="1" si="10"/>
        <v>139</v>
      </c>
      <c r="S343" s="86" t="str">
        <f t="shared" ca="1" si="11"/>
        <v>✓ OK</v>
      </c>
    </row>
    <row r="344" spans="1:19" ht="15.75" customHeight="1">
      <c r="A344" s="75">
        <v>351</v>
      </c>
      <c r="B344" s="76" t="s">
        <v>616</v>
      </c>
      <c r="C344" s="77" t="s">
        <v>615</v>
      </c>
      <c r="D344" s="77" t="s">
        <v>614</v>
      </c>
      <c r="E344" s="78" t="s">
        <v>6</v>
      </c>
      <c r="F344" s="77" t="s">
        <v>5</v>
      </c>
      <c r="G344" s="79" t="s">
        <v>73</v>
      </c>
      <c r="H344" s="78"/>
      <c r="I344" s="78"/>
      <c r="J344" s="78" t="s">
        <v>613</v>
      </c>
      <c r="K344" s="81" t="s">
        <v>2</v>
      </c>
      <c r="L344" s="82">
        <f>IFERROR(VLOOKUP($B344,[1]Sheet2!$A:$L,11,FALSE()),"")</f>
        <v>45996</v>
      </c>
      <c r="M344" s="83">
        <v>46386</v>
      </c>
      <c r="N344" s="84">
        <v>46386</v>
      </c>
      <c r="O344" s="78" t="s">
        <v>1</v>
      </c>
      <c r="P344" s="78"/>
      <c r="Q344" s="78" t="str">
        <f>IFERROR(VLOOKUP($B344,[1]Sheet2!$A:$L,12,FALSE()),"")</f>
        <v>Dubai</v>
      </c>
      <c r="R344" s="85">
        <f t="shared" ca="1" si="10"/>
        <v>139</v>
      </c>
      <c r="S344" s="86" t="str">
        <f t="shared" ca="1" si="11"/>
        <v>✓ OK</v>
      </c>
    </row>
    <row r="345" spans="1:19" ht="15.75" customHeight="1">
      <c r="A345" s="75">
        <v>352</v>
      </c>
      <c r="B345" s="76" t="s">
        <v>612</v>
      </c>
      <c r="C345" s="77" t="s">
        <v>611</v>
      </c>
      <c r="D345" s="77" t="s">
        <v>610</v>
      </c>
      <c r="E345" s="78" t="s">
        <v>6</v>
      </c>
      <c r="F345" s="77" t="s">
        <v>5</v>
      </c>
      <c r="G345" s="79" t="s">
        <v>73</v>
      </c>
      <c r="H345" s="78"/>
      <c r="I345" s="78"/>
      <c r="J345" s="78" t="s">
        <v>99</v>
      </c>
      <c r="K345" s="81" t="s">
        <v>2</v>
      </c>
      <c r="L345" s="82">
        <f>IFERROR(VLOOKUP($B345,[1]Sheet2!$A:$L,11,FALSE()),"")</f>
        <v>45996</v>
      </c>
      <c r="M345" s="90">
        <v>46476</v>
      </c>
      <c r="N345" s="84">
        <v>46386</v>
      </c>
      <c r="O345" s="78" t="s">
        <v>1</v>
      </c>
      <c r="P345" s="78"/>
      <c r="Q345" s="78" t="str">
        <f>IFERROR(VLOOKUP($B345,[1]Sheet2!$A:$L,12,FALSE()),"")</f>
        <v>Dubai</v>
      </c>
      <c r="R345" s="85">
        <f t="shared" ca="1" si="10"/>
        <v>229</v>
      </c>
      <c r="S345" s="86" t="str">
        <f t="shared" ca="1" si="11"/>
        <v>✓ OK</v>
      </c>
    </row>
    <row r="346" spans="1:19" ht="15.75" customHeight="1">
      <c r="A346" s="75">
        <v>353</v>
      </c>
      <c r="B346" s="76" t="s">
        <v>609</v>
      </c>
      <c r="C346" s="77" t="s">
        <v>608</v>
      </c>
      <c r="D346" s="77" t="s">
        <v>607</v>
      </c>
      <c r="E346" s="78" t="s">
        <v>6</v>
      </c>
      <c r="F346" s="77" t="s">
        <v>5</v>
      </c>
      <c r="G346" s="79" t="s">
        <v>73</v>
      </c>
      <c r="H346" s="78"/>
      <c r="I346" s="78"/>
      <c r="J346" s="78" t="s">
        <v>606</v>
      </c>
      <c r="K346" s="78" t="s">
        <v>133</v>
      </c>
      <c r="L346" s="82" t="str">
        <f>IFERROR(VLOOKUP($B346,[1]Sheet2!$A:$L,11,FALSE()),"")</f>
        <v/>
      </c>
      <c r="M346" s="83">
        <v>46113</v>
      </c>
      <c r="N346" s="78" t="s">
        <v>133</v>
      </c>
      <c r="O346" s="78" t="s">
        <v>41</v>
      </c>
      <c r="P346" s="78"/>
      <c r="Q346" s="78" t="str">
        <f>IFERROR(VLOOKUP($B346,[1]Sheet2!$A:$L,12,FALSE()),"")</f>
        <v/>
      </c>
      <c r="R346" s="85">
        <f t="shared" ca="1" si="10"/>
        <v>-134</v>
      </c>
      <c r="S346" s="86" t="str">
        <f t="shared" ca="1" si="11"/>
        <v>EXPIRED</v>
      </c>
    </row>
    <row r="347" spans="1:19" ht="15.75" customHeight="1">
      <c r="A347" s="75">
        <v>354</v>
      </c>
      <c r="B347" s="76" t="s">
        <v>605</v>
      </c>
      <c r="C347" s="77" t="s">
        <v>604</v>
      </c>
      <c r="D347" s="77" t="s">
        <v>603</v>
      </c>
      <c r="E347" s="78" t="s">
        <v>6</v>
      </c>
      <c r="F347" s="77" t="s">
        <v>5</v>
      </c>
      <c r="G347" s="79" t="s">
        <v>73</v>
      </c>
      <c r="H347" s="78"/>
      <c r="I347" s="78"/>
      <c r="J347" s="78" t="s">
        <v>602</v>
      </c>
      <c r="K347" s="81" t="s">
        <v>2</v>
      </c>
      <c r="L347" s="82">
        <f>IFERROR(VLOOKUP($B347,[1]Sheet2!$A:$L,11,FALSE()),"")</f>
        <v>45996</v>
      </c>
      <c r="M347" s="83">
        <v>46386</v>
      </c>
      <c r="N347" s="84">
        <v>46386</v>
      </c>
      <c r="O347" s="78" t="s">
        <v>132</v>
      </c>
      <c r="P347" s="78"/>
      <c r="Q347" s="78" t="str">
        <f>IFERROR(VLOOKUP($B347,[1]Sheet2!$A:$L,12,FALSE()),"")</f>
        <v>Dubai</v>
      </c>
      <c r="R347" s="85">
        <f t="shared" ca="1" si="10"/>
        <v>139</v>
      </c>
      <c r="S347" s="86" t="str">
        <f t="shared" ca="1" si="11"/>
        <v>✓ OK</v>
      </c>
    </row>
    <row r="348" spans="1:19" ht="15.75" customHeight="1">
      <c r="A348" s="75">
        <v>355</v>
      </c>
      <c r="B348" s="76" t="s">
        <v>601</v>
      </c>
      <c r="C348" s="77" t="s">
        <v>600</v>
      </c>
      <c r="D348" s="77" t="s">
        <v>599</v>
      </c>
      <c r="E348" s="78" t="s">
        <v>6</v>
      </c>
      <c r="F348" s="77" t="s">
        <v>5</v>
      </c>
      <c r="G348" s="79" t="s">
        <v>73</v>
      </c>
      <c r="H348" s="78"/>
      <c r="I348" s="78"/>
      <c r="J348" s="78" t="s">
        <v>598</v>
      </c>
      <c r="K348" s="81" t="s">
        <v>2</v>
      </c>
      <c r="L348" s="82">
        <f>IFERROR(VLOOKUP($B348,[1]Sheet2!$A:$L,11,FALSE()),"")</f>
        <v>45995</v>
      </c>
      <c r="M348" s="83">
        <v>46386</v>
      </c>
      <c r="N348" s="84">
        <v>46386</v>
      </c>
      <c r="O348" s="78" t="s">
        <v>132</v>
      </c>
      <c r="P348" s="78"/>
      <c r="Q348" s="78" t="str">
        <f>IFERROR(VLOOKUP($B348,[1]Sheet2!$A:$L,12,FALSE()),"")</f>
        <v>Dubai</v>
      </c>
      <c r="R348" s="85">
        <f t="shared" ca="1" si="10"/>
        <v>139</v>
      </c>
      <c r="S348" s="86" t="str">
        <f t="shared" ca="1" si="11"/>
        <v>✓ OK</v>
      </c>
    </row>
    <row r="349" spans="1:19" ht="15.75" customHeight="1">
      <c r="A349" s="75">
        <v>356</v>
      </c>
      <c r="B349" s="76" t="s">
        <v>597</v>
      </c>
      <c r="C349" s="77" t="s">
        <v>596</v>
      </c>
      <c r="D349" s="77"/>
      <c r="E349" s="78" t="s">
        <v>6</v>
      </c>
      <c r="F349" s="77" t="s">
        <v>5</v>
      </c>
      <c r="G349" s="79" t="s">
        <v>73</v>
      </c>
      <c r="H349" s="78"/>
      <c r="I349" s="78"/>
      <c r="J349" s="78" t="s">
        <v>595</v>
      </c>
      <c r="K349" s="81" t="s">
        <v>2</v>
      </c>
      <c r="L349" s="82">
        <f>IFERROR(VLOOKUP($B349,[1]Sheet2!$A:$L,11,FALSE()),"")</f>
        <v>45993</v>
      </c>
      <c r="M349" s="83">
        <v>46386</v>
      </c>
      <c r="N349" s="84">
        <v>46386</v>
      </c>
      <c r="O349" s="78" t="s">
        <v>132</v>
      </c>
      <c r="P349" s="78"/>
      <c r="Q349" s="78" t="str">
        <f>IFERROR(VLOOKUP($B349,[1]Sheet2!$A:$L,12,FALSE()),"")</f>
        <v>Dubai</v>
      </c>
      <c r="R349" s="85">
        <f t="shared" ca="1" si="10"/>
        <v>139</v>
      </c>
      <c r="S349" s="86" t="str">
        <f t="shared" ca="1" si="11"/>
        <v>✓ OK</v>
      </c>
    </row>
    <row r="350" spans="1:19" ht="15.75" customHeight="1">
      <c r="A350" s="75">
        <v>357</v>
      </c>
      <c r="B350" s="76" t="s">
        <v>594</v>
      </c>
      <c r="C350" s="77" t="s">
        <v>593</v>
      </c>
      <c r="D350" s="77" t="s">
        <v>592</v>
      </c>
      <c r="E350" s="78" t="s">
        <v>6</v>
      </c>
      <c r="F350" s="77" t="s">
        <v>5</v>
      </c>
      <c r="G350" s="79" t="s">
        <v>73</v>
      </c>
      <c r="H350" s="78"/>
      <c r="I350" s="78"/>
      <c r="J350" s="78" t="s">
        <v>591</v>
      </c>
      <c r="K350" s="88" t="s">
        <v>2</v>
      </c>
      <c r="L350" s="82">
        <f>IFERROR(VLOOKUP($B350,[1]Sheet2!$A:$L,11,FALSE()),"")</f>
        <v>46002</v>
      </c>
      <c r="M350" s="90">
        <v>46324</v>
      </c>
      <c r="N350" s="89">
        <v>46386</v>
      </c>
      <c r="O350" s="78" t="s">
        <v>1</v>
      </c>
      <c r="P350" s="78"/>
      <c r="Q350" s="78" t="str">
        <f>IFERROR(VLOOKUP($B350,[1]Sheet2!$A:$L,12,FALSE()),"")</f>
        <v>Dubai</v>
      </c>
      <c r="R350" s="85">
        <f t="shared" ca="1" si="10"/>
        <v>77</v>
      </c>
      <c r="S350" s="86" t="str">
        <f t="shared" ca="1" si="11"/>
        <v>⚡ 90 Days</v>
      </c>
    </row>
    <row r="351" spans="1:19" ht="15.75" customHeight="1">
      <c r="A351" s="75">
        <v>358</v>
      </c>
      <c r="B351" s="76" t="s">
        <v>590</v>
      </c>
      <c r="C351" s="77" t="s">
        <v>75</v>
      </c>
      <c r="D351" s="77" t="s">
        <v>74</v>
      </c>
      <c r="E351" s="78" t="s">
        <v>6</v>
      </c>
      <c r="F351" s="77" t="s">
        <v>5</v>
      </c>
      <c r="G351" s="79" t="s">
        <v>73</v>
      </c>
      <c r="H351" s="78"/>
      <c r="I351" s="78"/>
      <c r="J351" s="78" t="s">
        <v>72</v>
      </c>
      <c r="K351" s="81" t="s">
        <v>2</v>
      </c>
      <c r="L351" s="82">
        <f>IFERROR(VLOOKUP($B351,[1]Sheet2!$A:$L,11,FALSE()),"")</f>
        <v>46073</v>
      </c>
      <c r="M351" s="83">
        <v>46386</v>
      </c>
      <c r="N351" s="84">
        <v>46386</v>
      </c>
      <c r="O351" s="78" t="s">
        <v>1</v>
      </c>
      <c r="P351" s="78" t="s">
        <v>0</v>
      </c>
      <c r="Q351" s="78"/>
      <c r="R351" s="85">
        <f t="shared" ca="1" si="10"/>
        <v>139</v>
      </c>
      <c r="S351" s="86" t="str">
        <f t="shared" ca="1" si="11"/>
        <v>✓ OK</v>
      </c>
    </row>
    <row r="352" spans="1:19" ht="15.75" customHeight="1">
      <c r="A352" s="75">
        <v>359</v>
      </c>
      <c r="B352" s="76" t="s">
        <v>589</v>
      </c>
      <c r="C352" s="77" t="s">
        <v>588</v>
      </c>
      <c r="D352" s="77"/>
      <c r="E352" s="78" t="s">
        <v>6</v>
      </c>
      <c r="F352" s="77" t="s">
        <v>112</v>
      </c>
      <c r="G352" s="79" t="s">
        <v>111</v>
      </c>
      <c r="H352" s="78"/>
      <c r="I352" s="78"/>
      <c r="J352" s="78" t="s">
        <v>326</v>
      </c>
      <c r="K352" s="88" t="s">
        <v>42</v>
      </c>
      <c r="L352" s="82" t="str">
        <f>IFERROR(VLOOKUP($B352,[1]Sheet2!$A:$L,11,FALSE()),"")</f>
        <v/>
      </c>
      <c r="M352" s="90">
        <v>46160</v>
      </c>
      <c r="N352" s="78" t="s">
        <v>133</v>
      </c>
      <c r="O352" s="78" t="s">
        <v>41</v>
      </c>
      <c r="P352" s="78"/>
      <c r="Q352" s="78" t="str">
        <f>IFERROR(VLOOKUP($B352,[1]Sheet2!$A:$L,12,FALSE()),"")</f>
        <v/>
      </c>
      <c r="R352" s="85">
        <f t="shared" ca="1" si="10"/>
        <v>-87</v>
      </c>
      <c r="S352" s="86" t="str">
        <f t="shared" ca="1" si="11"/>
        <v>EXPIRED</v>
      </c>
    </row>
    <row r="353" spans="1:19" ht="15.75" customHeight="1">
      <c r="A353" s="75">
        <v>360</v>
      </c>
      <c r="B353" s="76" t="s">
        <v>587</v>
      </c>
      <c r="C353" s="77" t="s">
        <v>586</v>
      </c>
      <c r="D353" s="77"/>
      <c r="E353" s="78" t="s">
        <v>6</v>
      </c>
      <c r="F353" s="77" t="s">
        <v>112</v>
      </c>
      <c r="G353" s="79" t="s">
        <v>111</v>
      </c>
      <c r="H353" s="78"/>
      <c r="I353" s="78"/>
      <c r="J353" s="78" t="s">
        <v>326</v>
      </c>
      <c r="K353" s="81" t="s">
        <v>2</v>
      </c>
      <c r="L353" s="82">
        <f>IFERROR(VLOOKUP($B353,[1]Sheet2!$A:$L,11,FALSE()),"")</f>
        <v>46030</v>
      </c>
      <c r="M353" s="83">
        <v>46386</v>
      </c>
      <c r="N353" s="84">
        <v>46386</v>
      </c>
      <c r="O353" s="78" t="s">
        <v>1</v>
      </c>
      <c r="P353" s="78"/>
      <c r="Q353" s="78" t="str">
        <f>IFERROR(VLOOKUP($B353,[1]Sheet2!$A:$L,12,FALSE()),"")</f>
        <v>Dubai</v>
      </c>
      <c r="R353" s="85">
        <f t="shared" ca="1" si="10"/>
        <v>139</v>
      </c>
      <c r="S353" s="86" t="str">
        <f t="shared" ca="1" si="11"/>
        <v>✓ OK</v>
      </c>
    </row>
    <row r="354" spans="1:19" ht="15.75" customHeight="1">
      <c r="A354" s="75">
        <v>361</v>
      </c>
      <c r="B354" s="76" t="s">
        <v>585</v>
      </c>
      <c r="C354" s="77" t="s">
        <v>584</v>
      </c>
      <c r="D354" s="77"/>
      <c r="E354" s="78" t="s">
        <v>6</v>
      </c>
      <c r="F354" s="77" t="s">
        <v>112</v>
      </c>
      <c r="G354" s="79" t="s">
        <v>111</v>
      </c>
      <c r="H354" s="78"/>
      <c r="I354" s="78"/>
      <c r="J354" s="78" t="s">
        <v>326</v>
      </c>
      <c r="K354" s="81" t="s">
        <v>2</v>
      </c>
      <c r="L354" s="82">
        <f>IFERROR(VLOOKUP($B354,[1]Sheet2!$A:$L,11,FALSE()),"")</f>
        <v>46000</v>
      </c>
      <c r="M354" s="83">
        <v>46386</v>
      </c>
      <c r="N354" s="84">
        <v>46386</v>
      </c>
      <c r="O354" s="78" t="s">
        <v>1</v>
      </c>
      <c r="P354" s="78" t="s">
        <v>0</v>
      </c>
      <c r="Q354" s="78" t="s">
        <v>391</v>
      </c>
      <c r="R354" s="85">
        <f t="shared" ca="1" si="10"/>
        <v>139</v>
      </c>
      <c r="S354" s="86" t="str">
        <f t="shared" ca="1" si="11"/>
        <v>✓ OK</v>
      </c>
    </row>
    <row r="355" spans="1:19" ht="15.75" customHeight="1">
      <c r="A355" s="75">
        <v>362</v>
      </c>
      <c r="B355" s="76" t="s">
        <v>583</v>
      </c>
      <c r="C355" s="77" t="s">
        <v>582</v>
      </c>
      <c r="D355" s="77"/>
      <c r="E355" s="78" t="s">
        <v>6</v>
      </c>
      <c r="F355" s="77" t="s">
        <v>112</v>
      </c>
      <c r="G355" s="79" t="s">
        <v>111</v>
      </c>
      <c r="H355" s="78"/>
      <c r="I355" s="78"/>
      <c r="J355" s="78" t="s">
        <v>326</v>
      </c>
      <c r="K355" s="88" t="s">
        <v>42</v>
      </c>
      <c r="L355" s="82" t="str">
        <f>IFERROR(VLOOKUP($B355,[1]Sheet2!$A:$L,11,FALSE()),"")</f>
        <v/>
      </c>
      <c r="M355" s="90">
        <v>45545</v>
      </c>
      <c r="N355" s="78" t="s">
        <v>133</v>
      </c>
      <c r="O355" s="78" t="s">
        <v>41</v>
      </c>
      <c r="P355" s="78"/>
      <c r="Q355" s="78" t="str">
        <f>IFERROR(VLOOKUP($B355,[1]Sheet2!$A:$L,12,FALSE()),"")</f>
        <v/>
      </c>
      <c r="R355" s="85">
        <f t="shared" ca="1" si="10"/>
        <v>-702</v>
      </c>
      <c r="S355" s="86" t="str">
        <f t="shared" ca="1" si="11"/>
        <v>EXPIRED</v>
      </c>
    </row>
    <row r="356" spans="1:19" ht="15.75" customHeight="1">
      <c r="A356" s="75">
        <v>363</v>
      </c>
      <c r="B356" s="76" t="s">
        <v>581</v>
      </c>
      <c r="C356" s="77" t="s">
        <v>580</v>
      </c>
      <c r="D356" s="77"/>
      <c r="E356" s="78" t="s">
        <v>6</v>
      </c>
      <c r="F356" s="77" t="s">
        <v>112</v>
      </c>
      <c r="G356" s="79" t="s">
        <v>111</v>
      </c>
      <c r="H356" s="78"/>
      <c r="I356" s="78"/>
      <c r="J356" s="78" t="s">
        <v>326</v>
      </c>
      <c r="K356" s="88" t="s">
        <v>42</v>
      </c>
      <c r="L356" s="82" t="str">
        <f>IFERROR(VLOOKUP($B356,[1]Sheet2!$A:$L,11,FALSE()),"")</f>
        <v/>
      </c>
      <c r="M356" s="90">
        <v>46155</v>
      </c>
      <c r="N356" s="78" t="s">
        <v>133</v>
      </c>
      <c r="O356" s="78" t="s">
        <v>41</v>
      </c>
      <c r="P356" s="78"/>
      <c r="Q356" s="78" t="str">
        <f>IFERROR(VLOOKUP($B356,[1]Sheet2!$A:$L,12,FALSE()),"")</f>
        <v/>
      </c>
      <c r="R356" s="85">
        <f t="shared" ca="1" si="10"/>
        <v>-92</v>
      </c>
      <c r="S356" s="86" t="str">
        <f t="shared" ca="1" si="11"/>
        <v>EXPIRED</v>
      </c>
    </row>
    <row r="357" spans="1:19" ht="15.75" customHeight="1">
      <c r="A357" s="75">
        <v>364</v>
      </c>
      <c r="B357" s="76" t="s">
        <v>579</v>
      </c>
      <c r="C357" s="77" t="s">
        <v>578</v>
      </c>
      <c r="D357" s="77"/>
      <c r="E357" s="78" t="s">
        <v>6</v>
      </c>
      <c r="F357" s="77" t="s">
        <v>112</v>
      </c>
      <c r="G357" s="79" t="s">
        <v>111</v>
      </c>
      <c r="H357" s="78"/>
      <c r="I357" s="78"/>
      <c r="J357" s="78" t="s">
        <v>326</v>
      </c>
      <c r="K357" s="88" t="s">
        <v>42</v>
      </c>
      <c r="L357" s="82" t="str">
        <f>IFERROR(VLOOKUP($B357,[1]Sheet2!$A:$L,11,FALSE()),"")</f>
        <v/>
      </c>
      <c r="M357" s="90">
        <v>46004</v>
      </c>
      <c r="N357" s="78" t="s">
        <v>133</v>
      </c>
      <c r="O357" s="78" t="s">
        <v>41</v>
      </c>
      <c r="P357" s="78"/>
      <c r="Q357" s="78" t="str">
        <f>IFERROR(VLOOKUP($B357,[1]Sheet2!$A:$L,12,FALSE()),"")</f>
        <v/>
      </c>
      <c r="R357" s="85">
        <f t="shared" ca="1" si="10"/>
        <v>-243</v>
      </c>
      <c r="S357" s="86" t="str">
        <f t="shared" ca="1" si="11"/>
        <v>EXPIRED</v>
      </c>
    </row>
    <row r="358" spans="1:19" ht="15.75" customHeight="1">
      <c r="A358" s="75">
        <v>365</v>
      </c>
      <c r="B358" s="76" t="s">
        <v>577</v>
      </c>
      <c r="C358" s="77" t="s">
        <v>576</v>
      </c>
      <c r="D358" s="77"/>
      <c r="E358" s="78" t="s">
        <v>6</v>
      </c>
      <c r="F358" s="77" t="s">
        <v>112</v>
      </c>
      <c r="G358" s="79" t="s">
        <v>111</v>
      </c>
      <c r="H358" s="78"/>
      <c r="I358" s="78"/>
      <c r="J358" s="78" t="s">
        <v>326</v>
      </c>
      <c r="K358" s="81" t="s">
        <v>2</v>
      </c>
      <c r="L358" s="82">
        <f>IFERROR(VLOOKUP($B358,[1]Sheet2!$A:$L,11,FALSE()),"")</f>
        <v>46030</v>
      </c>
      <c r="M358" s="83">
        <v>46386</v>
      </c>
      <c r="N358" s="84">
        <v>46386</v>
      </c>
      <c r="O358" s="78" t="s">
        <v>1</v>
      </c>
      <c r="P358" s="78"/>
      <c r="Q358" s="78" t="str">
        <f>IFERROR(VLOOKUP($B358,[1]Sheet2!$A:$L,12,FALSE()),"")</f>
        <v>Dubai</v>
      </c>
      <c r="R358" s="85">
        <f t="shared" ca="1" si="10"/>
        <v>139</v>
      </c>
      <c r="S358" s="86" t="str">
        <f t="shared" ca="1" si="11"/>
        <v>✓ OK</v>
      </c>
    </row>
    <row r="359" spans="1:19" ht="15.75" customHeight="1">
      <c r="A359" s="75">
        <v>366</v>
      </c>
      <c r="B359" s="76" t="s">
        <v>575</v>
      </c>
      <c r="C359" s="77" t="s">
        <v>574</v>
      </c>
      <c r="D359" s="77"/>
      <c r="E359" s="78" t="s">
        <v>6</v>
      </c>
      <c r="F359" s="77" t="s">
        <v>112</v>
      </c>
      <c r="G359" s="79" t="s">
        <v>111</v>
      </c>
      <c r="H359" s="78"/>
      <c r="I359" s="78"/>
      <c r="J359" s="78" t="s">
        <v>326</v>
      </c>
      <c r="K359" s="88" t="s">
        <v>42</v>
      </c>
      <c r="L359" s="82" t="str">
        <f>IFERROR(VLOOKUP($B359,[1]Sheet2!$A:$L,11,FALSE()),"")</f>
        <v/>
      </c>
      <c r="M359" s="90">
        <v>45630</v>
      </c>
      <c r="N359" s="78" t="s">
        <v>41</v>
      </c>
      <c r="O359" s="78" t="s">
        <v>41</v>
      </c>
      <c r="P359" s="78"/>
      <c r="Q359" s="78" t="str">
        <f>IFERROR(VLOOKUP($B359,[1]Sheet2!$A:$L,12,FALSE()),"")</f>
        <v/>
      </c>
      <c r="R359" s="85">
        <f t="shared" ca="1" si="10"/>
        <v>-617</v>
      </c>
      <c r="S359" s="86" t="str">
        <f t="shared" ca="1" si="11"/>
        <v>EXPIRED</v>
      </c>
    </row>
    <row r="360" spans="1:19" ht="15.75" customHeight="1">
      <c r="A360" s="75">
        <v>367</v>
      </c>
      <c r="B360" s="76" t="s">
        <v>573</v>
      </c>
      <c r="C360" s="77" t="s">
        <v>572</v>
      </c>
      <c r="D360" s="77"/>
      <c r="E360" s="78" t="s">
        <v>6</v>
      </c>
      <c r="F360" s="77" t="s">
        <v>112</v>
      </c>
      <c r="G360" s="79" t="s">
        <v>111</v>
      </c>
      <c r="H360" s="78"/>
      <c r="I360" s="78"/>
      <c r="J360" s="78" t="s">
        <v>326</v>
      </c>
      <c r="K360" s="88" t="s">
        <v>42</v>
      </c>
      <c r="L360" s="82" t="str">
        <f>IFERROR(VLOOKUP($B360,[1]Sheet2!$A:$L,11,FALSE()),"")</f>
        <v/>
      </c>
      <c r="M360" s="90">
        <v>45574</v>
      </c>
      <c r="N360" s="78" t="s">
        <v>41</v>
      </c>
      <c r="O360" s="78" t="s">
        <v>41</v>
      </c>
      <c r="P360" s="78"/>
      <c r="Q360" s="78" t="str">
        <f>IFERROR(VLOOKUP($B360,[1]Sheet2!$A:$L,12,FALSE()),"")</f>
        <v/>
      </c>
      <c r="R360" s="85">
        <f t="shared" ca="1" si="10"/>
        <v>-673</v>
      </c>
      <c r="S360" s="86" t="str">
        <f t="shared" ca="1" si="11"/>
        <v>EXPIRED</v>
      </c>
    </row>
    <row r="361" spans="1:19" ht="15.75" customHeight="1">
      <c r="A361" s="75">
        <v>368</v>
      </c>
      <c r="B361" s="76" t="s">
        <v>331</v>
      </c>
      <c r="C361" s="77" t="s">
        <v>571</v>
      </c>
      <c r="D361" s="77"/>
      <c r="E361" s="78" t="s">
        <v>6</v>
      </c>
      <c r="F361" s="77" t="s">
        <v>112</v>
      </c>
      <c r="G361" s="79" t="s">
        <v>111</v>
      </c>
      <c r="H361" s="78"/>
      <c r="I361" s="78"/>
      <c r="J361" s="78" t="s">
        <v>326</v>
      </c>
      <c r="K361" s="81" t="s">
        <v>2</v>
      </c>
      <c r="L361" s="82">
        <f>IFERROR(VLOOKUP($B361,[1]Sheet2!$A:$L,11,FALSE()),"")</f>
        <v>46032</v>
      </c>
      <c r="M361" s="83">
        <v>46386</v>
      </c>
      <c r="N361" s="84">
        <v>46386</v>
      </c>
      <c r="O361" s="78"/>
      <c r="P361" s="78"/>
      <c r="Q361" s="78" t="str">
        <f>IFERROR(VLOOKUP($B361,[1]Sheet2!$A:$L,12,FALSE()),"")</f>
        <v>Dubai</v>
      </c>
      <c r="R361" s="85">
        <f t="shared" ca="1" si="10"/>
        <v>139</v>
      </c>
      <c r="S361" s="86" t="str">
        <f t="shared" ca="1" si="11"/>
        <v>✓ OK</v>
      </c>
    </row>
    <row r="362" spans="1:19" ht="15.75" customHeight="1">
      <c r="A362" s="75">
        <v>369</v>
      </c>
      <c r="B362" s="76" t="s">
        <v>570</v>
      </c>
      <c r="C362" s="77" t="s">
        <v>569</v>
      </c>
      <c r="D362" s="77"/>
      <c r="E362" s="78" t="s">
        <v>6</v>
      </c>
      <c r="F362" s="77" t="s">
        <v>112</v>
      </c>
      <c r="G362" s="79" t="s">
        <v>111</v>
      </c>
      <c r="H362" s="78"/>
      <c r="I362" s="78"/>
      <c r="J362" s="78" t="s">
        <v>326</v>
      </c>
      <c r="K362" s="81" t="s">
        <v>2</v>
      </c>
      <c r="L362" s="82">
        <f>IFERROR(VLOOKUP($B362,[1]Sheet2!$A:$L,11,FALSE()),"")</f>
        <v>46030</v>
      </c>
      <c r="M362" s="83">
        <v>46386</v>
      </c>
      <c r="N362" s="84">
        <v>46386</v>
      </c>
      <c r="O362" s="78"/>
      <c r="P362" s="78"/>
      <c r="Q362" s="78" t="str">
        <f>IFERROR(VLOOKUP($B362,[1]Sheet2!$A:$L,12,FALSE()),"")</f>
        <v>Dubai</v>
      </c>
      <c r="R362" s="85">
        <f t="shared" ca="1" si="10"/>
        <v>139</v>
      </c>
      <c r="S362" s="86" t="str">
        <f t="shared" ca="1" si="11"/>
        <v>✓ OK</v>
      </c>
    </row>
    <row r="363" spans="1:19" ht="15.75" customHeight="1">
      <c r="A363" s="75">
        <v>370</v>
      </c>
      <c r="B363" s="76" t="s">
        <v>568</v>
      </c>
      <c r="C363" s="77" t="s">
        <v>567</v>
      </c>
      <c r="D363" s="77"/>
      <c r="E363" s="78" t="s">
        <v>6</v>
      </c>
      <c r="F363" s="77" t="s">
        <v>112</v>
      </c>
      <c r="G363" s="79" t="s">
        <v>111</v>
      </c>
      <c r="H363" s="78"/>
      <c r="I363" s="78"/>
      <c r="J363" s="78" t="s">
        <v>326</v>
      </c>
      <c r="K363" s="81" t="s">
        <v>2</v>
      </c>
      <c r="L363" s="82">
        <f>IFERROR(VLOOKUP($B363,[1]Sheet2!$A:$L,11,FALSE()),"")</f>
        <v>46030</v>
      </c>
      <c r="M363" s="83">
        <v>46386</v>
      </c>
      <c r="N363" s="84">
        <v>46386</v>
      </c>
      <c r="O363" s="78"/>
      <c r="P363" s="78"/>
      <c r="Q363" s="78" t="str">
        <f>IFERROR(VLOOKUP($B363,[1]Sheet2!$A:$L,12,FALSE()),"")</f>
        <v>Dubai</v>
      </c>
      <c r="R363" s="85">
        <f t="shared" ca="1" si="10"/>
        <v>139</v>
      </c>
      <c r="S363" s="86" t="str">
        <f t="shared" ca="1" si="11"/>
        <v>✓ OK</v>
      </c>
    </row>
    <row r="364" spans="1:19" ht="15.75" customHeight="1">
      <c r="A364" s="75">
        <v>371</v>
      </c>
      <c r="B364" s="76" t="s">
        <v>566</v>
      </c>
      <c r="C364" s="77" t="s">
        <v>565</v>
      </c>
      <c r="D364" s="77"/>
      <c r="E364" s="78" t="s">
        <v>6</v>
      </c>
      <c r="F364" s="77" t="s">
        <v>112</v>
      </c>
      <c r="G364" s="79" t="s">
        <v>111</v>
      </c>
      <c r="H364" s="78"/>
      <c r="I364" s="78"/>
      <c r="J364" s="78" t="s">
        <v>326</v>
      </c>
      <c r="K364" s="81" t="s">
        <v>2</v>
      </c>
      <c r="L364" s="82">
        <f>IFERROR(VLOOKUP($B364,[1]Sheet2!$A:$L,11,FALSE()),"")</f>
        <v>46030</v>
      </c>
      <c r="M364" s="83">
        <v>46386</v>
      </c>
      <c r="N364" s="84">
        <v>46386</v>
      </c>
      <c r="O364" s="78"/>
      <c r="P364" s="78"/>
      <c r="Q364" s="78" t="str">
        <f>IFERROR(VLOOKUP($B364,[1]Sheet2!$A:$L,12,FALSE()),"")</f>
        <v>Dubai</v>
      </c>
      <c r="R364" s="85">
        <f t="shared" ca="1" si="10"/>
        <v>139</v>
      </c>
      <c r="S364" s="86" t="str">
        <f t="shared" ca="1" si="11"/>
        <v>✓ OK</v>
      </c>
    </row>
    <row r="365" spans="1:19" ht="15.75" customHeight="1">
      <c r="A365" s="75">
        <v>372</v>
      </c>
      <c r="B365" s="76" t="s">
        <v>564</v>
      </c>
      <c r="C365" s="77" t="s">
        <v>563</v>
      </c>
      <c r="D365" s="77"/>
      <c r="E365" s="78" t="s">
        <v>6</v>
      </c>
      <c r="F365" s="77" t="s">
        <v>112</v>
      </c>
      <c r="G365" s="79" t="s">
        <v>111</v>
      </c>
      <c r="H365" s="78"/>
      <c r="I365" s="78"/>
      <c r="J365" s="78" t="s">
        <v>326</v>
      </c>
      <c r="K365" s="81" t="s">
        <v>2</v>
      </c>
      <c r="L365" s="82">
        <f>IFERROR(VLOOKUP($B365,[1]Sheet2!$A:$L,11,FALSE()),"")</f>
        <v>46030</v>
      </c>
      <c r="M365" s="83">
        <v>46386</v>
      </c>
      <c r="N365" s="84">
        <v>46386</v>
      </c>
      <c r="O365" s="78"/>
      <c r="P365" s="78"/>
      <c r="Q365" s="78" t="str">
        <f>IFERROR(VLOOKUP($B365,[1]Sheet2!$A:$L,12,FALSE()),"")</f>
        <v>Dubai</v>
      </c>
      <c r="R365" s="85">
        <f t="shared" ca="1" si="10"/>
        <v>139</v>
      </c>
      <c r="S365" s="86" t="str">
        <f t="shared" ca="1" si="11"/>
        <v>✓ OK</v>
      </c>
    </row>
    <row r="366" spans="1:19" ht="15.75" customHeight="1">
      <c r="A366" s="75">
        <v>373</v>
      </c>
      <c r="B366" s="76" t="s">
        <v>562</v>
      </c>
      <c r="C366" s="77" t="s">
        <v>561</v>
      </c>
      <c r="D366" s="77"/>
      <c r="E366" s="78" t="s">
        <v>6</v>
      </c>
      <c r="F366" s="77" t="s">
        <v>112</v>
      </c>
      <c r="G366" s="79" t="s">
        <v>111</v>
      </c>
      <c r="H366" s="78"/>
      <c r="I366" s="78"/>
      <c r="J366" s="78" t="s">
        <v>326</v>
      </c>
      <c r="K366" s="88" t="s">
        <v>42</v>
      </c>
      <c r="L366" s="82" t="str">
        <f>IFERROR(VLOOKUP($B366,[1]Sheet2!$A:$L,11,FALSE()),"")</f>
        <v/>
      </c>
      <c r="M366" s="90">
        <v>45574</v>
      </c>
      <c r="N366" s="78" t="s">
        <v>133</v>
      </c>
      <c r="O366" s="78"/>
      <c r="P366" s="78"/>
      <c r="Q366" s="78" t="str">
        <f>IFERROR(VLOOKUP($B366,[1]Sheet2!$A:$L,12,FALSE()),"")</f>
        <v/>
      </c>
      <c r="R366" s="85">
        <f t="shared" ca="1" si="10"/>
        <v>-673</v>
      </c>
      <c r="S366" s="86" t="str">
        <f t="shared" ca="1" si="11"/>
        <v>EXPIRED</v>
      </c>
    </row>
    <row r="367" spans="1:19" ht="15.75" customHeight="1">
      <c r="A367" s="75">
        <v>374</v>
      </c>
      <c r="B367" s="76" t="s">
        <v>560</v>
      </c>
      <c r="C367" s="77" t="s">
        <v>559</v>
      </c>
      <c r="D367" s="77"/>
      <c r="E367" s="78" t="s">
        <v>6</v>
      </c>
      <c r="F367" s="77" t="s">
        <v>112</v>
      </c>
      <c r="G367" s="79" t="s">
        <v>111</v>
      </c>
      <c r="H367" s="78"/>
      <c r="I367" s="78"/>
      <c r="J367" s="78" t="s">
        <v>326</v>
      </c>
      <c r="K367" s="81" t="s">
        <v>2</v>
      </c>
      <c r="L367" s="82">
        <f>IFERROR(VLOOKUP($B367,[1]Sheet2!$A:$L,11,FALSE()),"")</f>
        <v>46030</v>
      </c>
      <c r="M367" s="83">
        <v>46386</v>
      </c>
      <c r="N367" s="84">
        <v>46386</v>
      </c>
      <c r="O367" s="78"/>
      <c r="P367" s="78"/>
      <c r="Q367" s="78" t="str">
        <f>IFERROR(VLOOKUP($B367,[1]Sheet2!$A:$L,12,FALSE()),"")</f>
        <v>Dubai</v>
      </c>
      <c r="R367" s="85">
        <f t="shared" ca="1" si="10"/>
        <v>139</v>
      </c>
      <c r="S367" s="86" t="str">
        <f t="shared" ca="1" si="11"/>
        <v>✓ OK</v>
      </c>
    </row>
    <row r="368" spans="1:19" ht="15.75" customHeight="1">
      <c r="A368" s="75">
        <v>375</v>
      </c>
      <c r="B368" s="76" t="s">
        <v>558</v>
      </c>
      <c r="C368" s="77" t="s">
        <v>557</v>
      </c>
      <c r="D368" s="77"/>
      <c r="E368" s="78" t="s">
        <v>6</v>
      </c>
      <c r="F368" s="77" t="s">
        <v>112</v>
      </c>
      <c r="G368" s="79" t="s">
        <v>111</v>
      </c>
      <c r="H368" s="78"/>
      <c r="I368" s="78"/>
      <c r="J368" s="78" t="s">
        <v>326</v>
      </c>
      <c r="K368" s="81" t="s">
        <v>2</v>
      </c>
      <c r="L368" s="82">
        <f>IFERROR(VLOOKUP($B368,[1]Sheet2!$A:$L,11,FALSE()),"")</f>
        <v>46030</v>
      </c>
      <c r="M368" s="83">
        <v>46386</v>
      </c>
      <c r="N368" s="84">
        <v>46386</v>
      </c>
      <c r="O368" s="78"/>
      <c r="P368" s="78" t="s">
        <v>0</v>
      </c>
      <c r="Q368" s="78" t="s">
        <v>391</v>
      </c>
      <c r="R368" s="85">
        <f t="shared" ca="1" si="10"/>
        <v>139</v>
      </c>
      <c r="S368" s="86" t="str">
        <f t="shared" ca="1" si="11"/>
        <v>✓ OK</v>
      </c>
    </row>
    <row r="369" spans="1:19" ht="15.75" customHeight="1">
      <c r="A369" s="75">
        <v>376</v>
      </c>
      <c r="B369" s="76" t="s">
        <v>556</v>
      </c>
      <c r="C369" s="77" t="s">
        <v>555</v>
      </c>
      <c r="D369" s="77"/>
      <c r="E369" s="78" t="s">
        <v>6</v>
      </c>
      <c r="F369" s="77" t="s">
        <v>112</v>
      </c>
      <c r="G369" s="79" t="s">
        <v>111</v>
      </c>
      <c r="H369" s="78"/>
      <c r="I369" s="78"/>
      <c r="J369" s="78" t="s">
        <v>326</v>
      </c>
      <c r="K369" s="81" t="s">
        <v>2</v>
      </c>
      <c r="L369" s="82">
        <f>IFERROR(VLOOKUP($B369,[1]Sheet2!$A:$L,11,FALSE()),"")</f>
        <v>46030</v>
      </c>
      <c r="M369" s="83">
        <v>46386</v>
      </c>
      <c r="N369" s="84">
        <v>46386</v>
      </c>
      <c r="O369" s="78"/>
      <c r="P369" s="78"/>
      <c r="Q369" s="78" t="str">
        <f>IFERROR(VLOOKUP($B369,[1]Sheet2!$A:$L,12,FALSE()),"")</f>
        <v>Dubai</v>
      </c>
      <c r="R369" s="85">
        <f t="shared" ca="1" si="10"/>
        <v>139</v>
      </c>
      <c r="S369" s="86" t="str">
        <f t="shared" ca="1" si="11"/>
        <v>✓ OK</v>
      </c>
    </row>
    <row r="370" spans="1:19" ht="15.75" customHeight="1">
      <c r="A370" s="75">
        <v>377</v>
      </c>
      <c r="B370" s="76" t="s">
        <v>554</v>
      </c>
      <c r="C370" s="77" t="s">
        <v>553</v>
      </c>
      <c r="D370" s="77"/>
      <c r="E370" s="78" t="s">
        <v>6</v>
      </c>
      <c r="F370" s="77" t="s">
        <v>112</v>
      </c>
      <c r="G370" s="79" t="s">
        <v>111</v>
      </c>
      <c r="H370" s="78"/>
      <c r="I370" s="78"/>
      <c r="J370" s="78" t="s">
        <v>326</v>
      </c>
      <c r="K370" s="81" t="s">
        <v>2</v>
      </c>
      <c r="L370" s="82">
        <f>IFERROR(VLOOKUP($B370,[1]Sheet2!$A:$L,11,FALSE()),"")</f>
        <v>46030</v>
      </c>
      <c r="M370" s="83">
        <v>46386</v>
      </c>
      <c r="N370" s="84">
        <v>46386</v>
      </c>
      <c r="O370" s="78"/>
      <c r="P370" s="78" t="s">
        <v>0</v>
      </c>
      <c r="Q370" s="78" t="s">
        <v>391</v>
      </c>
      <c r="R370" s="85">
        <f t="shared" ca="1" si="10"/>
        <v>139</v>
      </c>
      <c r="S370" s="86" t="str">
        <f t="shared" ca="1" si="11"/>
        <v>✓ OK</v>
      </c>
    </row>
    <row r="371" spans="1:19" ht="15.75" customHeight="1">
      <c r="A371" s="75">
        <v>378</v>
      </c>
      <c r="B371" s="76" t="s">
        <v>552</v>
      </c>
      <c r="C371" s="77" t="s">
        <v>551</v>
      </c>
      <c r="D371" s="77"/>
      <c r="E371" s="78" t="s">
        <v>6</v>
      </c>
      <c r="F371" s="77" t="s">
        <v>112</v>
      </c>
      <c r="G371" s="79" t="s">
        <v>111</v>
      </c>
      <c r="H371" s="78"/>
      <c r="I371" s="78"/>
      <c r="J371" s="78" t="s">
        <v>326</v>
      </c>
      <c r="K371" s="81" t="s">
        <v>2</v>
      </c>
      <c r="L371" s="82">
        <f>IFERROR(VLOOKUP($B371,[1]Sheet2!$A:$L,11,FALSE()),"")</f>
        <v>46030</v>
      </c>
      <c r="M371" s="83">
        <v>46386</v>
      </c>
      <c r="N371" s="84">
        <v>46386</v>
      </c>
      <c r="O371" s="78"/>
      <c r="P371" s="78"/>
      <c r="Q371" s="78" t="str">
        <f>IFERROR(VLOOKUP($B371,[1]Sheet2!$A:$L,12,FALSE()),"")</f>
        <v>Dubai</v>
      </c>
      <c r="R371" s="85">
        <f t="shared" ca="1" si="10"/>
        <v>139</v>
      </c>
      <c r="S371" s="86" t="str">
        <f t="shared" ca="1" si="11"/>
        <v>✓ OK</v>
      </c>
    </row>
    <row r="372" spans="1:19" ht="15.75" customHeight="1">
      <c r="A372" s="75">
        <v>379</v>
      </c>
      <c r="B372" s="76" t="s">
        <v>550</v>
      </c>
      <c r="C372" s="77" t="s">
        <v>549</v>
      </c>
      <c r="D372" s="77"/>
      <c r="E372" s="78" t="s">
        <v>6</v>
      </c>
      <c r="F372" s="77" t="s">
        <v>112</v>
      </c>
      <c r="G372" s="79" t="s">
        <v>111</v>
      </c>
      <c r="H372" s="78"/>
      <c r="I372" s="78"/>
      <c r="J372" s="78" t="s">
        <v>326</v>
      </c>
      <c r="K372" s="81" t="s">
        <v>2</v>
      </c>
      <c r="L372" s="82">
        <f>IFERROR(VLOOKUP($B372,[1]Sheet2!$A:$L,11,FALSE()),"")</f>
        <v>46030</v>
      </c>
      <c r="M372" s="83">
        <v>46386</v>
      </c>
      <c r="N372" s="84">
        <v>46386</v>
      </c>
      <c r="O372" s="78"/>
      <c r="P372" s="78"/>
      <c r="Q372" s="78" t="str">
        <f>IFERROR(VLOOKUP($B372,[1]Sheet2!$A:$L,12,FALSE()),"")</f>
        <v>Dubai</v>
      </c>
      <c r="R372" s="85">
        <f t="shared" ca="1" si="10"/>
        <v>139</v>
      </c>
      <c r="S372" s="86" t="str">
        <f t="shared" ca="1" si="11"/>
        <v>✓ OK</v>
      </c>
    </row>
    <row r="373" spans="1:19" ht="15.75" customHeight="1">
      <c r="A373" s="75">
        <v>380</v>
      </c>
      <c r="B373" s="76" t="s">
        <v>548</v>
      </c>
      <c r="C373" s="77" t="s">
        <v>547</v>
      </c>
      <c r="D373" s="77"/>
      <c r="E373" s="78" t="s">
        <v>6</v>
      </c>
      <c r="F373" s="77" t="s">
        <v>112</v>
      </c>
      <c r="G373" s="79" t="s">
        <v>111</v>
      </c>
      <c r="H373" s="78"/>
      <c r="I373" s="78"/>
      <c r="J373" s="78" t="s">
        <v>326</v>
      </c>
      <c r="K373" s="81" t="s">
        <v>2</v>
      </c>
      <c r="L373" s="82">
        <f>IFERROR(VLOOKUP($B373,[1]Sheet2!$A:$L,11,FALSE()),"")</f>
        <v>46000</v>
      </c>
      <c r="M373" s="83">
        <v>46386</v>
      </c>
      <c r="N373" s="84">
        <v>46386</v>
      </c>
      <c r="O373" s="78"/>
      <c r="P373" s="78"/>
      <c r="Q373" s="78" t="s">
        <v>391</v>
      </c>
      <c r="R373" s="85">
        <f t="shared" ca="1" si="10"/>
        <v>139</v>
      </c>
      <c r="S373" s="86" t="str">
        <f t="shared" ca="1" si="11"/>
        <v>✓ OK</v>
      </c>
    </row>
    <row r="374" spans="1:19" ht="15.75" customHeight="1">
      <c r="A374" s="75">
        <v>381</v>
      </c>
      <c r="B374" s="76" t="s">
        <v>546</v>
      </c>
      <c r="C374" s="77" t="s">
        <v>545</v>
      </c>
      <c r="D374" s="77"/>
      <c r="E374" s="78" t="s">
        <v>6</v>
      </c>
      <c r="F374" s="77" t="s">
        <v>112</v>
      </c>
      <c r="G374" s="79" t="s">
        <v>111</v>
      </c>
      <c r="H374" s="78"/>
      <c r="I374" s="78"/>
      <c r="J374" s="78" t="s">
        <v>326</v>
      </c>
      <c r="K374" s="81" t="s">
        <v>2</v>
      </c>
      <c r="L374" s="82">
        <f>IFERROR(VLOOKUP($B374,[1]Sheet2!$A:$L,11,FALSE()),"")</f>
        <v>46001</v>
      </c>
      <c r="M374" s="83">
        <v>46386</v>
      </c>
      <c r="N374" s="84">
        <v>46386</v>
      </c>
      <c r="O374" s="78"/>
      <c r="P374" s="78"/>
      <c r="Q374" s="78" t="str">
        <f>IFERROR(VLOOKUP($B374,[1]Sheet2!$A:$L,12,FALSE()),"")</f>
        <v>Dubai</v>
      </c>
      <c r="R374" s="85">
        <f t="shared" ca="1" si="10"/>
        <v>139</v>
      </c>
      <c r="S374" s="86" t="str">
        <f t="shared" ca="1" si="11"/>
        <v>✓ OK</v>
      </c>
    </row>
    <row r="375" spans="1:19" ht="15.75" customHeight="1">
      <c r="A375" s="75">
        <v>382</v>
      </c>
      <c r="B375" s="76" t="s">
        <v>544</v>
      </c>
      <c r="C375" s="77" t="s">
        <v>543</v>
      </c>
      <c r="D375" s="77"/>
      <c r="E375" s="78" t="s">
        <v>6</v>
      </c>
      <c r="F375" s="77" t="s">
        <v>112</v>
      </c>
      <c r="G375" s="79" t="s">
        <v>111</v>
      </c>
      <c r="H375" s="78"/>
      <c r="I375" s="78"/>
      <c r="J375" s="78" t="s">
        <v>326</v>
      </c>
      <c r="K375" s="88" t="s">
        <v>42</v>
      </c>
      <c r="L375" s="82" t="str">
        <f>IFERROR(VLOOKUP($B375,[1]Sheet2!$A:$L,11,FALSE()),"")</f>
        <v/>
      </c>
      <c r="M375" s="90">
        <v>46021</v>
      </c>
      <c r="N375" s="78" t="s">
        <v>133</v>
      </c>
      <c r="O375" s="78" t="s">
        <v>41</v>
      </c>
      <c r="P375" s="78"/>
      <c r="Q375" s="78" t="str">
        <f>IFERROR(VLOOKUP($B375,[1]Sheet2!$A:$L,12,FALSE()),"")</f>
        <v/>
      </c>
      <c r="R375" s="85">
        <f t="shared" ca="1" si="10"/>
        <v>-226</v>
      </c>
      <c r="S375" s="86" t="str">
        <f t="shared" ca="1" si="11"/>
        <v>EXPIRED</v>
      </c>
    </row>
    <row r="376" spans="1:19" ht="15.75" customHeight="1">
      <c r="A376" s="75">
        <v>383</v>
      </c>
      <c r="B376" s="76" t="s">
        <v>542</v>
      </c>
      <c r="C376" s="77" t="s">
        <v>541</v>
      </c>
      <c r="D376" s="77"/>
      <c r="E376" s="78" t="s">
        <v>6</v>
      </c>
      <c r="F376" s="77" t="s">
        <v>112</v>
      </c>
      <c r="G376" s="79" t="s">
        <v>111</v>
      </c>
      <c r="H376" s="78"/>
      <c r="I376" s="78"/>
      <c r="J376" s="78" t="s">
        <v>326</v>
      </c>
      <c r="K376" s="88" t="s">
        <v>42</v>
      </c>
      <c r="L376" s="82" t="str">
        <f>IFERROR(VLOOKUP($B376,[1]Sheet2!$A:$L,11,FALSE()),"")</f>
        <v/>
      </c>
      <c r="M376" s="83">
        <v>46021</v>
      </c>
      <c r="N376" s="83">
        <v>46386</v>
      </c>
      <c r="O376" s="100" t="s">
        <v>540</v>
      </c>
      <c r="P376" s="100"/>
      <c r="Q376" s="94" t="str">
        <f>IFERROR(VLOOKUP($B376,[1]Sheet2!$A:$L,12,FALSE()),"")</f>
        <v/>
      </c>
      <c r="R376" s="85">
        <f t="shared" ca="1" si="10"/>
        <v>-226</v>
      </c>
      <c r="S376" s="86" t="str">
        <f t="shared" ca="1" si="11"/>
        <v>EXPIRED</v>
      </c>
    </row>
    <row r="377" spans="1:19" ht="15.75" customHeight="1">
      <c r="A377" s="75">
        <v>384</v>
      </c>
      <c r="B377" s="76" t="s">
        <v>539</v>
      </c>
      <c r="C377" s="77" t="s">
        <v>538</v>
      </c>
      <c r="D377" s="77"/>
      <c r="E377" s="78" t="s">
        <v>6</v>
      </c>
      <c r="F377" s="77" t="s">
        <v>112</v>
      </c>
      <c r="G377" s="79" t="s">
        <v>111</v>
      </c>
      <c r="H377" s="78"/>
      <c r="I377" s="78"/>
      <c r="J377" s="78" t="s">
        <v>326</v>
      </c>
      <c r="K377" s="88" t="s">
        <v>42</v>
      </c>
      <c r="L377" s="82" t="str">
        <f>IFERROR(VLOOKUP($B377,[1]Sheet2!$A:$L,11,FALSE()),"")</f>
        <v/>
      </c>
      <c r="M377" s="90">
        <v>45672</v>
      </c>
      <c r="N377" s="78" t="s">
        <v>133</v>
      </c>
      <c r="O377" s="78" t="s">
        <v>41</v>
      </c>
      <c r="P377" s="78"/>
      <c r="Q377" s="78" t="str">
        <f>IFERROR(VLOOKUP($B377,[1]Sheet2!$A:$L,12,FALSE()),"")</f>
        <v/>
      </c>
      <c r="R377" s="85">
        <f t="shared" ca="1" si="10"/>
        <v>-575</v>
      </c>
      <c r="S377" s="86" t="str">
        <f t="shared" ca="1" si="11"/>
        <v>EXPIRED</v>
      </c>
    </row>
    <row r="378" spans="1:19" ht="15.75" customHeight="1">
      <c r="A378" s="75">
        <v>385</v>
      </c>
      <c r="B378" s="76" t="s">
        <v>537</v>
      </c>
      <c r="C378" s="77" t="s">
        <v>536</v>
      </c>
      <c r="D378" s="77"/>
      <c r="E378" s="78" t="s">
        <v>6</v>
      </c>
      <c r="F378" s="77" t="s">
        <v>112</v>
      </c>
      <c r="G378" s="79" t="s">
        <v>111</v>
      </c>
      <c r="H378" s="78"/>
      <c r="I378" s="78"/>
      <c r="J378" s="78" t="s">
        <v>326</v>
      </c>
      <c r="K378" s="88" t="s">
        <v>42</v>
      </c>
      <c r="L378" s="82" t="str">
        <f>IFERROR(VLOOKUP($B378,[1]Sheet2!$A:$L,11,FALSE()),"")</f>
        <v/>
      </c>
      <c r="M378" s="90">
        <v>45672</v>
      </c>
      <c r="N378" s="78" t="s">
        <v>133</v>
      </c>
      <c r="O378" s="78" t="s">
        <v>41</v>
      </c>
      <c r="P378" s="78"/>
      <c r="Q378" s="78" t="str">
        <f>IFERROR(VLOOKUP($B378,[1]Sheet2!$A:$L,12,FALSE()),"")</f>
        <v/>
      </c>
      <c r="R378" s="85">
        <f t="shared" ca="1" si="10"/>
        <v>-575</v>
      </c>
      <c r="S378" s="86" t="str">
        <f t="shared" ca="1" si="11"/>
        <v>EXPIRED</v>
      </c>
    </row>
    <row r="379" spans="1:19" ht="15.75" customHeight="1">
      <c r="A379" s="75">
        <v>386</v>
      </c>
      <c r="B379" s="76" t="s">
        <v>535</v>
      </c>
      <c r="C379" s="77" t="s">
        <v>534</v>
      </c>
      <c r="D379" s="77"/>
      <c r="E379" s="78" t="s">
        <v>6</v>
      </c>
      <c r="F379" s="77" t="s">
        <v>112</v>
      </c>
      <c r="G379" s="79" t="s">
        <v>111</v>
      </c>
      <c r="H379" s="78"/>
      <c r="I379" s="78"/>
      <c r="J379" s="78" t="s">
        <v>326</v>
      </c>
      <c r="K379" s="81" t="s">
        <v>2</v>
      </c>
      <c r="L379" s="82">
        <f>IFERROR(VLOOKUP($B379,[1]Sheet2!$A:$L,11,FALSE()),"")</f>
        <v>46000</v>
      </c>
      <c r="M379" s="83">
        <v>46386</v>
      </c>
      <c r="N379" s="84">
        <v>46386</v>
      </c>
      <c r="O379" s="78"/>
      <c r="P379" s="78" t="s">
        <v>0</v>
      </c>
      <c r="Q379" s="78" t="s">
        <v>391</v>
      </c>
      <c r="R379" s="85">
        <f t="shared" ca="1" si="10"/>
        <v>139</v>
      </c>
      <c r="S379" s="86" t="str">
        <f t="shared" ca="1" si="11"/>
        <v>✓ OK</v>
      </c>
    </row>
    <row r="380" spans="1:19" ht="15.75" customHeight="1">
      <c r="A380" s="75">
        <v>387</v>
      </c>
      <c r="B380" s="76" t="s">
        <v>533</v>
      </c>
      <c r="C380" s="77" t="s">
        <v>532</v>
      </c>
      <c r="D380" s="77"/>
      <c r="E380" s="78" t="s">
        <v>6</v>
      </c>
      <c r="F380" s="77" t="s">
        <v>112</v>
      </c>
      <c r="G380" s="79" t="s">
        <v>111</v>
      </c>
      <c r="H380" s="78"/>
      <c r="I380" s="78"/>
      <c r="J380" s="78" t="s">
        <v>326</v>
      </c>
      <c r="K380" s="81" t="s">
        <v>2</v>
      </c>
      <c r="L380" s="82">
        <f>IFERROR(VLOOKUP($B380,[1]Sheet2!$A:$L,11,FALSE()),"")</f>
        <v>46030</v>
      </c>
      <c r="M380" s="83">
        <v>46386</v>
      </c>
      <c r="N380" s="84">
        <v>46386</v>
      </c>
      <c r="O380" s="78"/>
      <c r="P380" s="78"/>
      <c r="Q380" s="78" t="str">
        <f>IFERROR(VLOOKUP($B380,[1]Sheet2!$A:$L,12,FALSE()),"")</f>
        <v>Dubai</v>
      </c>
      <c r="R380" s="85">
        <f t="shared" ca="1" si="10"/>
        <v>139</v>
      </c>
      <c r="S380" s="86" t="str">
        <f t="shared" ca="1" si="11"/>
        <v>✓ OK</v>
      </c>
    </row>
    <row r="381" spans="1:19" ht="15.75" customHeight="1">
      <c r="A381" s="75">
        <v>388</v>
      </c>
      <c r="B381" s="76" t="s">
        <v>531</v>
      </c>
      <c r="C381" s="77" t="s">
        <v>530</v>
      </c>
      <c r="D381" s="77"/>
      <c r="E381" s="78" t="s">
        <v>6</v>
      </c>
      <c r="F381" s="77" t="s">
        <v>112</v>
      </c>
      <c r="G381" s="79" t="s">
        <v>111</v>
      </c>
      <c r="H381" s="78"/>
      <c r="I381" s="78"/>
      <c r="J381" s="78" t="s">
        <v>326</v>
      </c>
      <c r="K381" s="81" t="s">
        <v>2</v>
      </c>
      <c r="L381" s="82">
        <f>IFERROR(VLOOKUP($B381,[1]Sheet2!$A:$L,11,FALSE()),"")</f>
        <v>46030</v>
      </c>
      <c r="M381" s="83">
        <v>46386</v>
      </c>
      <c r="N381" s="84">
        <v>46386</v>
      </c>
      <c r="O381" s="78" t="s">
        <v>1</v>
      </c>
      <c r="P381" s="78"/>
      <c r="Q381" s="78" t="str">
        <f>IFERROR(VLOOKUP($B381,[1]Sheet2!$A:$L,12,FALSE()),"")</f>
        <v>Dubai</v>
      </c>
      <c r="R381" s="85">
        <f t="shared" ca="1" si="10"/>
        <v>139</v>
      </c>
      <c r="S381" s="86" t="str">
        <f t="shared" ca="1" si="11"/>
        <v>✓ OK</v>
      </c>
    </row>
    <row r="382" spans="1:19" ht="15.75" customHeight="1">
      <c r="A382" s="75">
        <v>389</v>
      </c>
      <c r="B382" s="76" t="s">
        <v>529</v>
      </c>
      <c r="C382" s="77" t="s">
        <v>528</v>
      </c>
      <c r="D382" s="77"/>
      <c r="E382" s="78" t="s">
        <v>6</v>
      </c>
      <c r="F382" s="77" t="s">
        <v>112</v>
      </c>
      <c r="G382" s="79" t="s">
        <v>111</v>
      </c>
      <c r="H382" s="78"/>
      <c r="I382" s="78"/>
      <c r="J382" s="78" t="s">
        <v>326</v>
      </c>
      <c r="K382" s="81" t="s">
        <v>2</v>
      </c>
      <c r="L382" s="82">
        <f>IFERROR(VLOOKUP($B382,[1]Sheet2!$A:$L,11,FALSE()),"")</f>
        <v>46030</v>
      </c>
      <c r="M382" s="83">
        <v>46386</v>
      </c>
      <c r="N382" s="84">
        <v>46386</v>
      </c>
      <c r="O382" s="78" t="s">
        <v>1</v>
      </c>
      <c r="P382" s="78"/>
      <c r="Q382" s="78" t="str">
        <f>IFERROR(VLOOKUP($B382,[1]Sheet2!$A:$L,12,FALSE()),"")</f>
        <v>Dubai</v>
      </c>
      <c r="R382" s="85">
        <f t="shared" ca="1" si="10"/>
        <v>139</v>
      </c>
      <c r="S382" s="86" t="str">
        <f t="shared" ca="1" si="11"/>
        <v>✓ OK</v>
      </c>
    </row>
    <row r="383" spans="1:19" ht="15.75" customHeight="1">
      <c r="A383" s="75">
        <v>390</v>
      </c>
      <c r="B383" s="76" t="s">
        <v>527</v>
      </c>
      <c r="C383" s="77" t="s">
        <v>526</v>
      </c>
      <c r="D383" s="77"/>
      <c r="E383" s="78" t="s">
        <v>6</v>
      </c>
      <c r="F383" s="77" t="s">
        <v>112</v>
      </c>
      <c r="G383" s="79" t="s">
        <v>111</v>
      </c>
      <c r="H383" s="78"/>
      <c r="I383" s="78"/>
      <c r="J383" s="78" t="s">
        <v>326</v>
      </c>
      <c r="K383" s="81" t="s">
        <v>2</v>
      </c>
      <c r="L383" s="82">
        <f>IFERROR(VLOOKUP($B383,[1]Sheet2!$A:$L,11,FALSE()),"")</f>
        <v>46030</v>
      </c>
      <c r="M383" s="83">
        <v>46386</v>
      </c>
      <c r="N383" s="84">
        <v>46386</v>
      </c>
      <c r="O383" s="78" t="s">
        <v>1</v>
      </c>
      <c r="P383" s="78"/>
      <c r="Q383" s="78" t="str">
        <f>IFERROR(VLOOKUP($B383,[1]Sheet2!$A:$L,12,FALSE()),"")</f>
        <v>Dubai</v>
      </c>
      <c r="R383" s="85">
        <f t="shared" ca="1" si="10"/>
        <v>139</v>
      </c>
      <c r="S383" s="86" t="str">
        <f t="shared" ca="1" si="11"/>
        <v>✓ OK</v>
      </c>
    </row>
    <row r="384" spans="1:19" ht="15.75" customHeight="1">
      <c r="A384" s="75">
        <v>391</v>
      </c>
      <c r="B384" s="76" t="s">
        <v>460</v>
      </c>
      <c r="C384" s="77" t="s">
        <v>525</v>
      </c>
      <c r="D384" s="77"/>
      <c r="E384" s="78" t="s">
        <v>6</v>
      </c>
      <c r="F384" s="77" t="s">
        <v>112</v>
      </c>
      <c r="G384" s="79" t="s">
        <v>111</v>
      </c>
      <c r="H384" s="78"/>
      <c r="I384" s="78"/>
      <c r="J384" s="78" t="s">
        <v>326</v>
      </c>
      <c r="K384" s="88" t="s">
        <v>42</v>
      </c>
      <c r="L384" s="82" t="str">
        <f>IFERROR(VLOOKUP($B384,[1]Sheet2!$A:$L,11,FALSE()),"")</f>
        <v/>
      </c>
      <c r="M384" s="83">
        <v>45545</v>
      </c>
      <c r="N384" s="84" t="s">
        <v>133</v>
      </c>
      <c r="O384" s="78"/>
      <c r="P384" s="78"/>
      <c r="Q384" s="78" t="str">
        <f>IFERROR(VLOOKUP($B384,[1]Sheet2!$A:$L,12,FALSE()),"")</f>
        <v/>
      </c>
      <c r="R384" s="85">
        <f t="shared" ca="1" si="10"/>
        <v>-702</v>
      </c>
      <c r="S384" s="86" t="str">
        <f t="shared" ca="1" si="11"/>
        <v>EXPIRED</v>
      </c>
    </row>
    <row r="385" spans="1:19" ht="15.75" customHeight="1">
      <c r="A385" s="75">
        <v>392</v>
      </c>
      <c r="B385" s="76" t="s">
        <v>524</v>
      </c>
      <c r="C385" s="77" t="s">
        <v>523</v>
      </c>
      <c r="D385" s="77"/>
      <c r="E385" s="78" t="s">
        <v>6</v>
      </c>
      <c r="F385" s="77" t="s">
        <v>112</v>
      </c>
      <c r="G385" s="79" t="s">
        <v>111</v>
      </c>
      <c r="H385" s="78"/>
      <c r="I385" s="78"/>
      <c r="J385" s="78" t="s">
        <v>326</v>
      </c>
      <c r="K385" s="81" t="s">
        <v>2</v>
      </c>
      <c r="L385" s="82">
        <f>IFERROR(VLOOKUP($B385,[1]Sheet2!$A:$L,11,FALSE()),"")</f>
        <v>46000</v>
      </c>
      <c r="M385" s="83">
        <v>46386</v>
      </c>
      <c r="N385" s="84">
        <v>46386</v>
      </c>
      <c r="O385" s="78" t="s">
        <v>1</v>
      </c>
      <c r="P385" s="78"/>
      <c r="Q385" s="78" t="str">
        <f>IFERROR(VLOOKUP($B385,[1]Sheet2!$A:$L,12,FALSE()),"")</f>
        <v>Dubai</v>
      </c>
      <c r="R385" s="85">
        <f t="shared" ca="1" si="10"/>
        <v>139</v>
      </c>
      <c r="S385" s="86" t="str">
        <f t="shared" ca="1" si="11"/>
        <v>✓ OK</v>
      </c>
    </row>
    <row r="386" spans="1:19" ht="15.75" customHeight="1">
      <c r="A386" s="75">
        <v>393</v>
      </c>
      <c r="B386" s="76" t="s">
        <v>503</v>
      </c>
      <c r="C386" s="77" t="s">
        <v>522</v>
      </c>
      <c r="D386" s="77"/>
      <c r="E386" s="78" t="s">
        <v>6</v>
      </c>
      <c r="F386" s="77" t="s">
        <v>112</v>
      </c>
      <c r="G386" s="79" t="s">
        <v>111</v>
      </c>
      <c r="H386" s="78"/>
      <c r="I386" s="78"/>
      <c r="J386" s="78" t="s">
        <v>326</v>
      </c>
      <c r="K386" s="81" t="s">
        <v>2</v>
      </c>
      <c r="L386" s="82">
        <f>IFERROR(VLOOKUP($B386,[1]Sheet2!$A:$L,11,FALSE()),"")</f>
        <v>46030</v>
      </c>
      <c r="M386" s="83">
        <v>46386</v>
      </c>
      <c r="N386" s="84">
        <v>46386</v>
      </c>
      <c r="O386" s="78" t="s">
        <v>1</v>
      </c>
      <c r="P386" s="78"/>
      <c r="Q386" s="78" t="str">
        <f>IFERROR(VLOOKUP($B386,[1]Sheet2!$A:$L,12,FALSE()),"")</f>
        <v>Dubai</v>
      </c>
      <c r="R386" s="85">
        <f t="shared" ref="R386:R449" ca="1" si="12">IF(ISNUMBER(M386),INT(M386)-INT(TODAY()),"")</f>
        <v>139</v>
      </c>
      <c r="S386" s="86" t="str">
        <f t="shared" ref="S386:S449" ca="1" si="13">IF(R386="","—",IF(R386&lt;0,"EXPIRED",IF(R386&lt;=30,"⚠ EXPIRES SOON",IF(R386&lt;=90,"⚡ 90 Days","✓ OK"))))</f>
        <v>✓ OK</v>
      </c>
    </row>
    <row r="387" spans="1:19" ht="15.75" customHeight="1">
      <c r="A387" s="75">
        <v>394</v>
      </c>
      <c r="B387" s="76" t="s">
        <v>521</v>
      </c>
      <c r="C387" s="77" t="s">
        <v>520</v>
      </c>
      <c r="D387" s="77"/>
      <c r="E387" s="78" t="s">
        <v>6</v>
      </c>
      <c r="F387" s="77" t="s">
        <v>112</v>
      </c>
      <c r="G387" s="79" t="s">
        <v>111</v>
      </c>
      <c r="H387" s="78"/>
      <c r="I387" s="78"/>
      <c r="J387" s="78" t="s">
        <v>326</v>
      </c>
      <c r="K387" s="81" t="s">
        <v>2</v>
      </c>
      <c r="L387" s="82">
        <f>IFERROR(VLOOKUP($B387,[1]Sheet2!$A:$L,11,FALSE()),"")</f>
        <v>46001</v>
      </c>
      <c r="M387" s="83">
        <v>46386</v>
      </c>
      <c r="N387" s="84">
        <v>46386</v>
      </c>
      <c r="O387" s="78" t="s">
        <v>1</v>
      </c>
      <c r="P387" s="78"/>
      <c r="Q387" s="78" t="str">
        <f>IFERROR(VLOOKUP($B387,[1]Sheet2!$A:$L,12,FALSE()),"")</f>
        <v>Dubai</v>
      </c>
      <c r="R387" s="85">
        <f t="shared" ca="1" si="12"/>
        <v>139</v>
      </c>
      <c r="S387" s="86" t="str">
        <f t="shared" ca="1" si="13"/>
        <v>✓ OK</v>
      </c>
    </row>
    <row r="388" spans="1:19" ht="15.75" customHeight="1">
      <c r="A388" s="75">
        <v>395</v>
      </c>
      <c r="B388" s="76" t="s">
        <v>519</v>
      </c>
      <c r="C388" s="77" t="s">
        <v>518</v>
      </c>
      <c r="D388" s="77"/>
      <c r="E388" s="78" t="s">
        <v>6</v>
      </c>
      <c r="F388" s="77" t="s">
        <v>112</v>
      </c>
      <c r="G388" s="79" t="s">
        <v>111</v>
      </c>
      <c r="H388" s="78"/>
      <c r="I388" s="78"/>
      <c r="J388" s="78" t="s">
        <v>326</v>
      </c>
      <c r="K388" s="81" t="s">
        <v>2</v>
      </c>
      <c r="L388" s="82" t="str">
        <f>IFERROR(VLOOKUP($B388,[1]Sheet2!$A:$L,11,FALSE()),"")</f>
        <v/>
      </c>
      <c r="M388" s="90">
        <v>46200</v>
      </c>
      <c r="N388" s="78" t="s">
        <v>133</v>
      </c>
      <c r="O388" s="78"/>
      <c r="P388" s="78"/>
      <c r="Q388" s="78" t="str">
        <f>IFERROR(VLOOKUP($B388,[1]Sheet2!$A:$L,12,FALSE()),"")</f>
        <v/>
      </c>
      <c r="R388" s="85">
        <f t="shared" ca="1" si="12"/>
        <v>-47</v>
      </c>
      <c r="S388" s="86" t="str">
        <f t="shared" ca="1" si="13"/>
        <v>EXPIRED</v>
      </c>
    </row>
    <row r="389" spans="1:19" ht="15.75" customHeight="1">
      <c r="A389" s="75">
        <v>396</v>
      </c>
      <c r="B389" s="76" t="s">
        <v>517</v>
      </c>
      <c r="C389" s="77" t="s">
        <v>516</v>
      </c>
      <c r="D389" s="77"/>
      <c r="E389" s="78" t="s">
        <v>6</v>
      </c>
      <c r="F389" s="77" t="s">
        <v>112</v>
      </c>
      <c r="G389" s="79" t="s">
        <v>111</v>
      </c>
      <c r="H389" s="78"/>
      <c r="I389" s="78"/>
      <c r="J389" s="78" t="s">
        <v>326</v>
      </c>
      <c r="K389" s="88" t="s">
        <v>42</v>
      </c>
      <c r="L389" s="82" t="str">
        <f>IFERROR(VLOOKUP($B389,[1]Sheet2!$A:$L,11,FALSE()),"")</f>
        <v/>
      </c>
      <c r="M389" s="90">
        <v>46200</v>
      </c>
      <c r="N389" s="78" t="s">
        <v>133</v>
      </c>
      <c r="O389" s="78"/>
      <c r="P389" s="78"/>
      <c r="Q389" s="78" t="str">
        <f>IFERROR(VLOOKUP($B389,[1]Sheet2!$A:$L,12,FALSE()),"")</f>
        <v/>
      </c>
      <c r="R389" s="85">
        <f t="shared" ca="1" si="12"/>
        <v>-47</v>
      </c>
      <c r="S389" s="86" t="str">
        <f t="shared" ca="1" si="13"/>
        <v>EXPIRED</v>
      </c>
    </row>
    <row r="390" spans="1:19" ht="15.75" customHeight="1">
      <c r="A390" s="75">
        <v>397</v>
      </c>
      <c r="B390" s="76" t="s">
        <v>515</v>
      </c>
      <c r="C390" s="77" t="s">
        <v>514</v>
      </c>
      <c r="D390" s="77"/>
      <c r="E390" s="78" t="s">
        <v>6</v>
      </c>
      <c r="F390" s="77" t="s">
        <v>112</v>
      </c>
      <c r="G390" s="79" t="s">
        <v>111</v>
      </c>
      <c r="H390" s="78"/>
      <c r="I390" s="78"/>
      <c r="J390" s="78" t="s">
        <v>326</v>
      </c>
      <c r="K390" s="81" t="s">
        <v>42</v>
      </c>
      <c r="L390" s="82" t="str">
        <f>IFERROR(VLOOKUP($B390,[1]Sheet2!$A:$L,11,FALSE()),"")</f>
        <v/>
      </c>
      <c r="M390" s="90">
        <v>45777</v>
      </c>
      <c r="N390" s="78" t="s">
        <v>41</v>
      </c>
      <c r="O390" s="78"/>
      <c r="P390" s="78"/>
      <c r="Q390" s="78" t="str">
        <f>IFERROR(VLOOKUP($B390,[1]Sheet2!$A:$L,12,FALSE()),"")</f>
        <v/>
      </c>
      <c r="R390" s="85">
        <f t="shared" ca="1" si="12"/>
        <v>-470</v>
      </c>
      <c r="S390" s="86" t="str">
        <f t="shared" ca="1" si="13"/>
        <v>EXPIRED</v>
      </c>
    </row>
    <row r="391" spans="1:19" ht="15.75" customHeight="1">
      <c r="A391" s="75">
        <v>398</v>
      </c>
      <c r="B391" s="76" t="s">
        <v>513</v>
      </c>
      <c r="C391" s="77" t="s">
        <v>512</v>
      </c>
      <c r="D391" s="77"/>
      <c r="E391" s="78" t="s">
        <v>6</v>
      </c>
      <c r="F391" s="77" t="s">
        <v>112</v>
      </c>
      <c r="G391" s="79" t="s">
        <v>111</v>
      </c>
      <c r="H391" s="78"/>
      <c r="I391" s="78"/>
      <c r="J391" s="78" t="s">
        <v>326</v>
      </c>
      <c r="K391" s="88" t="s">
        <v>42</v>
      </c>
      <c r="L391" s="82" t="str">
        <f>IFERROR(VLOOKUP($B391,[1]Sheet2!$A:$L,11,FALSE()),"")</f>
        <v/>
      </c>
      <c r="M391" s="90">
        <v>46200</v>
      </c>
      <c r="N391" s="78" t="s">
        <v>133</v>
      </c>
      <c r="O391" s="78"/>
      <c r="P391" s="78"/>
      <c r="Q391" s="78" t="str">
        <f>IFERROR(VLOOKUP($B391,[1]Sheet2!$A:$L,12,FALSE()),"")</f>
        <v/>
      </c>
      <c r="R391" s="85">
        <f t="shared" ca="1" si="12"/>
        <v>-47</v>
      </c>
      <c r="S391" s="86" t="str">
        <f t="shared" ca="1" si="13"/>
        <v>EXPIRED</v>
      </c>
    </row>
    <row r="392" spans="1:19" ht="15.75" customHeight="1">
      <c r="A392" s="75">
        <v>399</v>
      </c>
      <c r="B392" s="76" t="s">
        <v>511</v>
      </c>
      <c r="C392" s="77" t="s">
        <v>510</v>
      </c>
      <c r="D392" s="77"/>
      <c r="E392" s="78" t="s">
        <v>6</v>
      </c>
      <c r="F392" s="77" t="s">
        <v>112</v>
      </c>
      <c r="G392" s="79" t="s">
        <v>111</v>
      </c>
      <c r="H392" s="78"/>
      <c r="I392" s="78"/>
      <c r="J392" s="78" t="s">
        <v>326</v>
      </c>
      <c r="K392" s="81" t="s">
        <v>2</v>
      </c>
      <c r="L392" s="82">
        <f>IFERROR(VLOOKUP($B392,[1]Sheet2!$A:$L,11,FALSE()),"")</f>
        <v>46001</v>
      </c>
      <c r="M392" s="83">
        <v>46386</v>
      </c>
      <c r="N392" s="84">
        <v>46386</v>
      </c>
      <c r="O392" s="78"/>
      <c r="P392" s="78"/>
      <c r="Q392" s="78" t="str">
        <f>IFERROR(VLOOKUP($B392,[1]Sheet2!$A:$L,12,FALSE()),"")</f>
        <v>Dubai</v>
      </c>
      <c r="R392" s="85">
        <f t="shared" ca="1" si="12"/>
        <v>139</v>
      </c>
      <c r="S392" s="86" t="str">
        <f t="shared" ca="1" si="13"/>
        <v>✓ OK</v>
      </c>
    </row>
    <row r="393" spans="1:19" ht="15.75" customHeight="1">
      <c r="A393" s="75">
        <v>400</v>
      </c>
      <c r="B393" s="76" t="s">
        <v>509</v>
      </c>
      <c r="C393" s="77" t="s">
        <v>508</v>
      </c>
      <c r="D393" s="77"/>
      <c r="E393" s="78" t="s">
        <v>6</v>
      </c>
      <c r="F393" s="77" t="s">
        <v>112</v>
      </c>
      <c r="G393" s="79" t="s">
        <v>111</v>
      </c>
      <c r="H393" s="78"/>
      <c r="I393" s="78"/>
      <c r="J393" s="78" t="s">
        <v>326</v>
      </c>
      <c r="K393" s="81" t="s">
        <v>2</v>
      </c>
      <c r="L393" s="82">
        <f>IFERROR(VLOOKUP($B393,[1]Sheet2!$A:$L,11,FALSE()),"")</f>
        <v>46030</v>
      </c>
      <c r="M393" s="83">
        <v>46386</v>
      </c>
      <c r="N393" s="84">
        <v>46386</v>
      </c>
      <c r="O393" s="78"/>
      <c r="P393" s="78"/>
      <c r="Q393" s="78" t="str">
        <f>IFERROR(VLOOKUP($B393,[1]Sheet2!$A:$L,12,FALSE()),"")</f>
        <v>Dubai</v>
      </c>
      <c r="R393" s="85">
        <f t="shared" ca="1" si="12"/>
        <v>139</v>
      </c>
      <c r="S393" s="86" t="str">
        <f t="shared" ca="1" si="13"/>
        <v>✓ OK</v>
      </c>
    </row>
    <row r="394" spans="1:19" ht="15.75" customHeight="1">
      <c r="A394" s="75">
        <v>401</v>
      </c>
      <c r="B394" s="76" t="s">
        <v>507</v>
      </c>
      <c r="C394" s="77" t="s">
        <v>506</v>
      </c>
      <c r="D394" s="77"/>
      <c r="E394" s="78" t="s">
        <v>6</v>
      </c>
      <c r="F394" s="77" t="s">
        <v>112</v>
      </c>
      <c r="G394" s="79" t="s">
        <v>111</v>
      </c>
      <c r="H394" s="78"/>
      <c r="I394" s="78"/>
      <c r="J394" s="78" t="s">
        <v>326</v>
      </c>
      <c r="K394" s="81" t="s">
        <v>2</v>
      </c>
      <c r="L394" s="82">
        <f>IFERROR(VLOOKUP($B394,[1]Sheet2!$A:$L,11,FALSE()),"")</f>
        <v>46030</v>
      </c>
      <c r="M394" s="83">
        <v>46386</v>
      </c>
      <c r="N394" s="84">
        <v>46386</v>
      </c>
      <c r="O394" s="78"/>
      <c r="P394" s="78"/>
      <c r="Q394" s="78" t="str">
        <f>IFERROR(VLOOKUP($B394,[1]Sheet2!$A:$L,12,FALSE()),"")</f>
        <v>Dubai</v>
      </c>
      <c r="R394" s="85">
        <f t="shared" ca="1" si="12"/>
        <v>139</v>
      </c>
      <c r="S394" s="86" t="str">
        <f t="shared" ca="1" si="13"/>
        <v>✓ OK</v>
      </c>
    </row>
    <row r="395" spans="1:19" ht="15.75" customHeight="1">
      <c r="A395" s="75">
        <v>402</v>
      </c>
      <c r="B395" s="76" t="s">
        <v>505</v>
      </c>
      <c r="C395" s="77" t="s">
        <v>504</v>
      </c>
      <c r="D395" s="77"/>
      <c r="E395" s="78" t="s">
        <v>6</v>
      </c>
      <c r="F395" s="77" t="s">
        <v>112</v>
      </c>
      <c r="G395" s="79" t="s">
        <v>111</v>
      </c>
      <c r="H395" s="78"/>
      <c r="I395" s="78"/>
      <c r="J395" s="78" t="s">
        <v>326</v>
      </c>
      <c r="K395" s="81" t="s">
        <v>2</v>
      </c>
      <c r="L395" s="82">
        <f>IFERROR(VLOOKUP($B395,[1]Sheet2!$A:$L,11,FALSE()),"")</f>
        <v>46030</v>
      </c>
      <c r="M395" s="83">
        <v>46386</v>
      </c>
      <c r="N395" s="84">
        <v>46386</v>
      </c>
      <c r="O395" s="78"/>
      <c r="P395" s="78"/>
      <c r="Q395" s="78" t="str">
        <f>IFERROR(VLOOKUP($B395,[1]Sheet2!$A:$L,12,FALSE()),"")</f>
        <v>Dubai</v>
      </c>
      <c r="R395" s="85">
        <f t="shared" ca="1" si="12"/>
        <v>139</v>
      </c>
      <c r="S395" s="86" t="str">
        <f t="shared" ca="1" si="13"/>
        <v>✓ OK</v>
      </c>
    </row>
    <row r="396" spans="1:19" ht="15.75" customHeight="1">
      <c r="A396" s="75">
        <v>403</v>
      </c>
      <c r="B396" s="76" t="s">
        <v>503</v>
      </c>
      <c r="C396" s="77" t="s">
        <v>502</v>
      </c>
      <c r="D396" s="77"/>
      <c r="E396" s="78" t="s">
        <v>6</v>
      </c>
      <c r="F396" s="77" t="s">
        <v>112</v>
      </c>
      <c r="G396" s="79" t="s">
        <v>111</v>
      </c>
      <c r="H396" s="78"/>
      <c r="I396" s="78"/>
      <c r="J396" s="78" t="s">
        <v>326</v>
      </c>
      <c r="K396" s="81" t="s">
        <v>2</v>
      </c>
      <c r="L396" s="82">
        <f>IFERROR(VLOOKUP($B396,[1]Sheet2!$A:$L,11,FALSE()),"")</f>
        <v>46030</v>
      </c>
      <c r="M396" s="83">
        <v>46386</v>
      </c>
      <c r="N396" s="84">
        <v>46386</v>
      </c>
      <c r="O396" s="78"/>
      <c r="P396" s="78"/>
      <c r="Q396" s="78" t="str">
        <f>IFERROR(VLOOKUP($B396,[1]Sheet2!$A:$L,12,FALSE()),"")</f>
        <v>Dubai</v>
      </c>
      <c r="R396" s="85">
        <f t="shared" ca="1" si="12"/>
        <v>139</v>
      </c>
      <c r="S396" s="86" t="str">
        <f t="shared" ca="1" si="13"/>
        <v>✓ OK</v>
      </c>
    </row>
    <row r="397" spans="1:19" ht="15.75" customHeight="1">
      <c r="A397" s="75">
        <v>404</v>
      </c>
      <c r="B397" s="76" t="s">
        <v>501</v>
      </c>
      <c r="C397" s="77" t="s">
        <v>500</v>
      </c>
      <c r="D397" s="77"/>
      <c r="E397" s="78" t="s">
        <v>6</v>
      </c>
      <c r="F397" s="77" t="s">
        <v>112</v>
      </c>
      <c r="G397" s="79" t="s">
        <v>111</v>
      </c>
      <c r="H397" s="78"/>
      <c r="I397" s="78"/>
      <c r="J397" s="78" t="s">
        <v>326</v>
      </c>
      <c r="K397" s="81" t="s">
        <v>2</v>
      </c>
      <c r="L397" s="82">
        <f>IFERROR(VLOOKUP($B397,[1]Sheet2!$A:$L,11,FALSE()),"")</f>
        <v>46030</v>
      </c>
      <c r="M397" s="83">
        <v>46386</v>
      </c>
      <c r="N397" s="84">
        <v>46386</v>
      </c>
      <c r="O397" s="78"/>
      <c r="P397" s="78"/>
      <c r="Q397" s="78" t="str">
        <f>IFERROR(VLOOKUP($B397,[1]Sheet2!$A:$L,12,FALSE()),"")</f>
        <v>Dubai</v>
      </c>
      <c r="R397" s="85">
        <f t="shared" ca="1" si="12"/>
        <v>139</v>
      </c>
      <c r="S397" s="86" t="str">
        <f t="shared" ca="1" si="13"/>
        <v>✓ OK</v>
      </c>
    </row>
    <row r="398" spans="1:19" ht="15.75" customHeight="1">
      <c r="A398" s="75">
        <v>405</v>
      </c>
      <c r="B398" s="76" t="s">
        <v>499</v>
      </c>
      <c r="C398" s="77" t="s">
        <v>498</v>
      </c>
      <c r="D398" s="77"/>
      <c r="E398" s="78" t="s">
        <v>6</v>
      </c>
      <c r="F398" s="77" t="s">
        <v>112</v>
      </c>
      <c r="G398" s="79" t="s">
        <v>111</v>
      </c>
      <c r="H398" s="78"/>
      <c r="I398" s="78"/>
      <c r="J398" s="78" t="s">
        <v>326</v>
      </c>
      <c r="K398" s="81" t="s">
        <v>2</v>
      </c>
      <c r="L398" s="82">
        <f>IFERROR(VLOOKUP($B398,[1]Sheet2!$A:$L,11,FALSE()),"")</f>
        <v>46184</v>
      </c>
      <c r="M398" s="83">
        <v>46386</v>
      </c>
      <c r="N398" s="84">
        <v>46386</v>
      </c>
      <c r="O398" s="78"/>
      <c r="P398" s="78"/>
      <c r="Q398" s="78" t="str">
        <f>IFERROR(VLOOKUP($B398,[1]Sheet2!$A:$L,12,FALSE()),"")</f>
        <v>Dubai</v>
      </c>
      <c r="R398" s="85">
        <f t="shared" ca="1" si="12"/>
        <v>139</v>
      </c>
      <c r="S398" s="86" t="str">
        <f t="shared" ca="1" si="13"/>
        <v>✓ OK</v>
      </c>
    </row>
    <row r="399" spans="1:19" ht="15.75" customHeight="1">
      <c r="A399" s="75">
        <v>406</v>
      </c>
      <c r="B399" s="76" t="s">
        <v>497</v>
      </c>
      <c r="C399" s="77" t="s">
        <v>496</v>
      </c>
      <c r="D399" s="77"/>
      <c r="E399" s="78" t="s">
        <v>6</v>
      </c>
      <c r="F399" s="77" t="s">
        <v>112</v>
      </c>
      <c r="G399" s="79" t="s">
        <v>111</v>
      </c>
      <c r="H399" s="78"/>
      <c r="I399" s="78"/>
      <c r="J399" s="78" t="s">
        <v>326</v>
      </c>
      <c r="K399" s="81" t="s">
        <v>2</v>
      </c>
      <c r="L399" s="82">
        <f>IFERROR(VLOOKUP($B399,[1]Sheet2!$A:$L,11,FALSE()),"")</f>
        <v>46030</v>
      </c>
      <c r="M399" s="83">
        <v>46386</v>
      </c>
      <c r="N399" s="84">
        <v>46386</v>
      </c>
      <c r="O399" s="78"/>
      <c r="P399" s="78"/>
      <c r="Q399" s="78" t="str">
        <f>IFERROR(VLOOKUP($B399,[1]Sheet2!$A:$L,12,FALSE()),"")</f>
        <v>Dubai</v>
      </c>
      <c r="R399" s="85">
        <f t="shared" ca="1" si="12"/>
        <v>139</v>
      </c>
      <c r="S399" s="86" t="str">
        <f t="shared" ca="1" si="13"/>
        <v>✓ OK</v>
      </c>
    </row>
    <row r="400" spans="1:19" ht="15.75" customHeight="1">
      <c r="A400" s="75">
        <v>407</v>
      </c>
      <c r="B400" s="76" t="s">
        <v>495</v>
      </c>
      <c r="C400" s="77" t="s">
        <v>494</v>
      </c>
      <c r="D400" s="77"/>
      <c r="E400" s="78" t="s">
        <v>6</v>
      </c>
      <c r="F400" s="77" t="s">
        <v>112</v>
      </c>
      <c r="G400" s="79" t="s">
        <v>111</v>
      </c>
      <c r="H400" s="78"/>
      <c r="I400" s="78"/>
      <c r="J400" s="78" t="s">
        <v>326</v>
      </c>
      <c r="K400" s="81" t="s">
        <v>2</v>
      </c>
      <c r="L400" s="82">
        <f>IFERROR(VLOOKUP($B400,[1]Sheet2!$A:$L,11,FALSE()),"")</f>
        <v>46001</v>
      </c>
      <c r="M400" s="83">
        <v>46386</v>
      </c>
      <c r="N400" s="84">
        <v>46386</v>
      </c>
      <c r="O400" s="78"/>
      <c r="P400" s="78"/>
      <c r="Q400" s="78" t="str">
        <f>IFERROR(VLOOKUP($B400,[1]Sheet2!$A:$L,12,FALSE()),"")</f>
        <v>Dubai</v>
      </c>
      <c r="R400" s="85">
        <f t="shared" ca="1" si="12"/>
        <v>139</v>
      </c>
      <c r="S400" s="86" t="str">
        <f t="shared" ca="1" si="13"/>
        <v>✓ OK</v>
      </c>
    </row>
    <row r="401" spans="1:19" ht="15.75" customHeight="1">
      <c r="A401" s="75">
        <v>408</v>
      </c>
      <c r="B401" s="76" t="s">
        <v>493</v>
      </c>
      <c r="C401" s="77" t="s">
        <v>492</v>
      </c>
      <c r="D401" s="77"/>
      <c r="E401" s="78" t="s">
        <v>6</v>
      </c>
      <c r="F401" s="77" t="s">
        <v>112</v>
      </c>
      <c r="G401" s="79" t="s">
        <v>111</v>
      </c>
      <c r="H401" s="78"/>
      <c r="I401" s="78"/>
      <c r="J401" s="78" t="s">
        <v>326</v>
      </c>
      <c r="K401" s="81" t="s">
        <v>2</v>
      </c>
      <c r="L401" s="82">
        <f>IFERROR(VLOOKUP($B401,[1]Sheet2!$A:$L,11,FALSE()),"")</f>
        <v>46001</v>
      </c>
      <c r="M401" s="83">
        <v>46386</v>
      </c>
      <c r="N401" s="84">
        <v>46386</v>
      </c>
      <c r="O401" s="78"/>
      <c r="P401" s="78"/>
      <c r="Q401" s="78" t="str">
        <f>IFERROR(VLOOKUP($B401,[1]Sheet2!$A:$L,12,FALSE()),"")</f>
        <v>Dubai</v>
      </c>
      <c r="R401" s="85">
        <f t="shared" ca="1" si="12"/>
        <v>139</v>
      </c>
      <c r="S401" s="86" t="str">
        <f t="shared" ca="1" si="13"/>
        <v>✓ OK</v>
      </c>
    </row>
    <row r="402" spans="1:19" ht="15.75" customHeight="1">
      <c r="A402" s="75">
        <v>409</v>
      </c>
      <c r="B402" s="76" t="s">
        <v>491</v>
      </c>
      <c r="C402" s="77" t="s">
        <v>490</v>
      </c>
      <c r="D402" s="77"/>
      <c r="E402" s="78" t="s">
        <v>6</v>
      </c>
      <c r="F402" s="77" t="s">
        <v>112</v>
      </c>
      <c r="G402" s="79" t="s">
        <v>111</v>
      </c>
      <c r="H402" s="78"/>
      <c r="I402" s="78"/>
      <c r="J402" s="78" t="s">
        <v>326</v>
      </c>
      <c r="K402" s="81" t="s">
        <v>2</v>
      </c>
      <c r="L402" s="82">
        <f>IFERROR(VLOOKUP($B402,[1]Sheet2!$A:$L,11,FALSE()),"")</f>
        <v>46001</v>
      </c>
      <c r="M402" s="83">
        <v>46386</v>
      </c>
      <c r="N402" s="84">
        <v>46386</v>
      </c>
      <c r="O402" s="78"/>
      <c r="P402" s="78"/>
      <c r="Q402" s="78" t="str">
        <f>IFERROR(VLOOKUP($B402,[1]Sheet2!$A:$L,12,FALSE()),"")</f>
        <v>Dubai</v>
      </c>
      <c r="R402" s="85">
        <f t="shared" ca="1" si="12"/>
        <v>139</v>
      </c>
      <c r="S402" s="86" t="str">
        <f t="shared" ca="1" si="13"/>
        <v>✓ OK</v>
      </c>
    </row>
    <row r="403" spans="1:19" ht="15.75" customHeight="1">
      <c r="A403" s="75">
        <v>410</v>
      </c>
      <c r="B403" s="76" t="s">
        <v>489</v>
      </c>
      <c r="C403" s="77" t="s">
        <v>488</v>
      </c>
      <c r="D403" s="77"/>
      <c r="E403" s="78" t="s">
        <v>6</v>
      </c>
      <c r="F403" s="77" t="s">
        <v>112</v>
      </c>
      <c r="G403" s="79" t="s">
        <v>111</v>
      </c>
      <c r="H403" s="78"/>
      <c r="I403" s="78"/>
      <c r="J403" s="78" t="s">
        <v>326</v>
      </c>
      <c r="K403" s="81" t="s">
        <v>2</v>
      </c>
      <c r="L403" s="82">
        <f>IFERROR(VLOOKUP($B403,[1]Sheet2!$A:$L,11,FALSE()),"")</f>
        <v>46001</v>
      </c>
      <c r="M403" s="83">
        <v>46386</v>
      </c>
      <c r="N403" s="84">
        <v>46386</v>
      </c>
      <c r="O403" s="78"/>
      <c r="P403" s="78"/>
      <c r="Q403" s="78" t="str">
        <f>IFERROR(VLOOKUP($B403,[1]Sheet2!$A:$L,12,FALSE()),"")</f>
        <v>Dubai</v>
      </c>
      <c r="R403" s="85">
        <f t="shared" ca="1" si="12"/>
        <v>139</v>
      </c>
      <c r="S403" s="86" t="str">
        <f t="shared" ca="1" si="13"/>
        <v>✓ OK</v>
      </c>
    </row>
    <row r="404" spans="1:19" ht="15.75" customHeight="1">
      <c r="A404" s="75">
        <v>411</v>
      </c>
      <c r="B404" s="76" t="s">
        <v>487</v>
      </c>
      <c r="C404" s="77" t="s">
        <v>486</v>
      </c>
      <c r="D404" s="77"/>
      <c r="E404" s="78" t="s">
        <v>6</v>
      </c>
      <c r="F404" s="77" t="s">
        <v>112</v>
      </c>
      <c r="G404" s="79" t="s">
        <v>111</v>
      </c>
      <c r="H404" s="78"/>
      <c r="I404" s="78"/>
      <c r="J404" s="78" t="s">
        <v>326</v>
      </c>
      <c r="K404" s="81" t="s">
        <v>2</v>
      </c>
      <c r="L404" s="82">
        <f>IFERROR(VLOOKUP($B404,[1]Sheet2!$A:$L,11,FALSE()),"")</f>
        <v>46001</v>
      </c>
      <c r="M404" s="83">
        <v>46386</v>
      </c>
      <c r="N404" s="84">
        <v>46386</v>
      </c>
      <c r="O404" s="78"/>
      <c r="P404" s="78"/>
      <c r="Q404" s="78" t="str">
        <f>IFERROR(VLOOKUP($B404,[1]Sheet2!$A:$L,12,FALSE()),"")</f>
        <v>Dubai</v>
      </c>
      <c r="R404" s="85">
        <f t="shared" ca="1" si="12"/>
        <v>139</v>
      </c>
      <c r="S404" s="86" t="str">
        <f t="shared" ca="1" si="13"/>
        <v>✓ OK</v>
      </c>
    </row>
    <row r="405" spans="1:19" ht="15.75" customHeight="1">
      <c r="A405" s="75">
        <v>412</v>
      </c>
      <c r="B405" s="76" t="s">
        <v>485</v>
      </c>
      <c r="C405" s="77" t="s">
        <v>484</v>
      </c>
      <c r="D405" s="77"/>
      <c r="E405" s="78" t="s">
        <v>6</v>
      </c>
      <c r="F405" s="77" t="s">
        <v>112</v>
      </c>
      <c r="G405" s="79" t="s">
        <v>111</v>
      </c>
      <c r="H405" s="78"/>
      <c r="I405" s="78"/>
      <c r="J405" s="78" t="s">
        <v>326</v>
      </c>
      <c r="K405" s="81" t="s">
        <v>2</v>
      </c>
      <c r="L405" s="82">
        <f>IFERROR(VLOOKUP($B405,[1]Sheet2!$A:$L,11,FALSE()),"")</f>
        <v>46001</v>
      </c>
      <c r="M405" s="83">
        <v>46386</v>
      </c>
      <c r="N405" s="84">
        <v>46386</v>
      </c>
      <c r="O405" s="78"/>
      <c r="P405" s="78"/>
      <c r="Q405" s="78" t="str">
        <f>IFERROR(VLOOKUP($B405,[1]Sheet2!$A:$L,12,FALSE()),"")</f>
        <v>Dubai</v>
      </c>
      <c r="R405" s="85">
        <f t="shared" ca="1" si="12"/>
        <v>139</v>
      </c>
      <c r="S405" s="86" t="str">
        <f t="shared" ca="1" si="13"/>
        <v>✓ OK</v>
      </c>
    </row>
    <row r="406" spans="1:19" ht="15.75" customHeight="1">
      <c r="A406" s="75">
        <v>413</v>
      </c>
      <c r="B406" s="76" t="s">
        <v>483</v>
      </c>
      <c r="C406" s="77" t="s">
        <v>482</v>
      </c>
      <c r="D406" s="77"/>
      <c r="E406" s="78" t="s">
        <v>6</v>
      </c>
      <c r="F406" s="77" t="s">
        <v>112</v>
      </c>
      <c r="G406" s="79" t="s">
        <v>111</v>
      </c>
      <c r="H406" s="78"/>
      <c r="I406" s="78"/>
      <c r="J406" s="78" t="s">
        <v>326</v>
      </c>
      <c r="K406" s="81" t="s">
        <v>2</v>
      </c>
      <c r="L406" s="82">
        <f>IFERROR(VLOOKUP($B406,[1]Sheet2!$A:$L,11,FALSE()),"")</f>
        <v>45999</v>
      </c>
      <c r="M406" s="83">
        <v>46386</v>
      </c>
      <c r="N406" s="84">
        <v>46386</v>
      </c>
      <c r="O406" s="78"/>
      <c r="P406" s="78" t="s">
        <v>0</v>
      </c>
      <c r="Q406" s="78" t="s">
        <v>391</v>
      </c>
      <c r="R406" s="85">
        <f t="shared" ca="1" si="12"/>
        <v>139</v>
      </c>
      <c r="S406" s="86" t="str">
        <f t="shared" ca="1" si="13"/>
        <v>✓ OK</v>
      </c>
    </row>
    <row r="407" spans="1:19" ht="15.75" customHeight="1">
      <c r="A407" s="75">
        <v>414</v>
      </c>
      <c r="B407" s="76" t="s">
        <v>481</v>
      </c>
      <c r="C407" s="77" t="s">
        <v>480</v>
      </c>
      <c r="D407" s="77"/>
      <c r="E407" s="78" t="s">
        <v>6</v>
      </c>
      <c r="F407" s="77" t="s">
        <v>112</v>
      </c>
      <c r="G407" s="79" t="s">
        <v>111</v>
      </c>
      <c r="H407" s="78"/>
      <c r="I407" s="78"/>
      <c r="J407" s="78" t="s">
        <v>326</v>
      </c>
      <c r="K407" s="81" t="s">
        <v>2</v>
      </c>
      <c r="L407" s="82">
        <f>IFERROR(VLOOKUP($B407,[1]Sheet2!$A:$L,11,FALSE()),"")</f>
        <v>46001</v>
      </c>
      <c r="M407" s="83">
        <v>46386</v>
      </c>
      <c r="N407" s="84">
        <v>46386</v>
      </c>
      <c r="O407" s="78"/>
      <c r="P407" s="78"/>
      <c r="Q407" s="78" t="str">
        <f>IFERROR(VLOOKUP($B407,[1]Sheet2!$A:$L,12,FALSE()),"")</f>
        <v>Dubai</v>
      </c>
      <c r="R407" s="85">
        <f t="shared" ca="1" si="12"/>
        <v>139</v>
      </c>
      <c r="S407" s="86" t="str">
        <f t="shared" ca="1" si="13"/>
        <v>✓ OK</v>
      </c>
    </row>
    <row r="408" spans="1:19" ht="15.75" customHeight="1">
      <c r="A408" s="75">
        <v>415</v>
      </c>
      <c r="B408" s="76" t="s">
        <v>479</v>
      </c>
      <c r="C408" s="77" t="s">
        <v>478</v>
      </c>
      <c r="D408" s="77"/>
      <c r="E408" s="78" t="s">
        <v>6</v>
      </c>
      <c r="F408" s="77" t="s">
        <v>112</v>
      </c>
      <c r="G408" s="79" t="s">
        <v>111</v>
      </c>
      <c r="H408" s="78"/>
      <c r="I408" s="78"/>
      <c r="J408" s="78" t="s">
        <v>326</v>
      </c>
      <c r="K408" s="81" t="s">
        <v>2</v>
      </c>
      <c r="L408" s="82">
        <f>IFERROR(VLOOKUP($B408,[1]Sheet2!$A:$L,11,FALSE()),"")</f>
        <v>46001</v>
      </c>
      <c r="M408" s="83">
        <v>46386</v>
      </c>
      <c r="N408" s="84">
        <v>46386</v>
      </c>
      <c r="O408" s="78"/>
      <c r="P408" s="78"/>
      <c r="Q408" s="78" t="str">
        <f>IFERROR(VLOOKUP($B408,[1]Sheet2!$A:$L,12,FALSE()),"")</f>
        <v>Dubai</v>
      </c>
      <c r="R408" s="85">
        <f t="shared" ca="1" si="12"/>
        <v>139</v>
      </c>
      <c r="S408" s="86" t="str">
        <f t="shared" ca="1" si="13"/>
        <v>✓ OK</v>
      </c>
    </row>
    <row r="409" spans="1:19" ht="15.75" customHeight="1">
      <c r="A409" s="75">
        <v>416</v>
      </c>
      <c r="B409" s="76" t="s">
        <v>477</v>
      </c>
      <c r="C409" s="77" t="s">
        <v>476</v>
      </c>
      <c r="D409" s="77"/>
      <c r="E409" s="78" t="s">
        <v>6</v>
      </c>
      <c r="F409" s="77" t="s">
        <v>112</v>
      </c>
      <c r="G409" s="79" t="s">
        <v>111</v>
      </c>
      <c r="H409" s="78"/>
      <c r="I409" s="78"/>
      <c r="J409" s="78" t="s">
        <v>326</v>
      </c>
      <c r="K409" s="81" t="s">
        <v>2</v>
      </c>
      <c r="L409" s="82">
        <f>IFERROR(VLOOKUP($B409,[1]Sheet2!$A:$L,11,FALSE()),"")</f>
        <v>46001</v>
      </c>
      <c r="M409" s="83">
        <v>46386</v>
      </c>
      <c r="N409" s="84">
        <v>46386</v>
      </c>
      <c r="O409" s="78"/>
      <c r="P409" s="78"/>
      <c r="Q409" s="78" t="str">
        <f>IFERROR(VLOOKUP($B409,[1]Sheet2!$A:$L,12,FALSE()),"")</f>
        <v>Dubai</v>
      </c>
      <c r="R409" s="85">
        <f t="shared" ca="1" si="12"/>
        <v>139</v>
      </c>
      <c r="S409" s="86" t="str">
        <f t="shared" ca="1" si="13"/>
        <v>✓ OK</v>
      </c>
    </row>
    <row r="410" spans="1:19" ht="15.75" customHeight="1">
      <c r="A410" s="75">
        <v>417</v>
      </c>
      <c r="B410" s="76" t="s">
        <v>475</v>
      </c>
      <c r="C410" s="77" t="s">
        <v>474</v>
      </c>
      <c r="D410" s="77"/>
      <c r="E410" s="78" t="s">
        <v>6</v>
      </c>
      <c r="F410" s="77" t="s">
        <v>112</v>
      </c>
      <c r="G410" s="79" t="s">
        <v>111</v>
      </c>
      <c r="H410" s="78"/>
      <c r="I410" s="78"/>
      <c r="J410" s="78" t="s">
        <v>326</v>
      </c>
      <c r="K410" s="81" t="s">
        <v>2</v>
      </c>
      <c r="L410" s="82">
        <f>IFERROR(VLOOKUP($B410,[1]Sheet2!$A:$L,11,FALSE()),"")</f>
        <v>46001</v>
      </c>
      <c r="M410" s="83">
        <v>46386</v>
      </c>
      <c r="N410" s="84">
        <v>46386</v>
      </c>
      <c r="O410" s="78"/>
      <c r="P410" s="78"/>
      <c r="Q410" s="78" t="str">
        <f>IFERROR(VLOOKUP($B410,[1]Sheet2!$A:$L,12,FALSE()),"")</f>
        <v>Dubai</v>
      </c>
      <c r="R410" s="85">
        <f t="shared" ca="1" si="12"/>
        <v>139</v>
      </c>
      <c r="S410" s="86" t="str">
        <f t="shared" ca="1" si="13"/>
        <v>✓ OK</v>
      </c>
    </row>
    <row r="411" spans="1:19" ht="15.75" customHeight="1">
      <c r="A411" s="75">
        <v>418</v>
      </c>
      <c r="B411" s="76" t="s">
        <v>473</v>
      </c>
      <c r="C411" s="77" t="s">
        <v>472</v>
      </c>
      <c r="D411" s="77"/>
      <c r="E411" s="78" t="s">
        <v>6</v>
      </c>
      <c r="F411" s="77" t="s">
        <v>112</v>
      </c>
      <c r="G411" s="79" t="s">
        <v>111</v>
      </c>
      <c r="H411" s="78"/>
      <c r="I411" s="78"/>
      <c r="J411" s="78" t="s">
        <v>326</v>
      </c>
      <c r="K411" s="81" t="s">
        <v>2</v>
      </c>
      <c r="L411" s="82">
        <f>IFERROR(VLOOKUP($B411,[1]Sheet2!$A:$L,11,FALSE()),"")</f>
        <v>46001</v>
      </c>
      <c r="M411" s="83">
        <v>46386</v>
      </c>
      <c r="N411" s="84">
        <v>46386</v>
      </c>
      <c r="O411" s="78"/>
      <c r="P411" s="78"/>
      <c r="Q411" s="78" t="str">
        <f>IFERROR(VLOOKUP($B411,[1]Sheet2!$A:$L,12,FALSE()),"")</f>
        <v>Dubai</v>
      </c>
      <c r="R411" s="85">
        <f t="shared" ca="1" si="12"/>
        <v>139</v>
      </c>
      <c r="S411" s="86" t="str">
        <f t="shared" ca="1" si="13"/>
        <v>✓ OK</v>
      </c>
    </row>
    <row r="412" spans="1:19" ht="15.75" customHeight="1">
      <c r="A412" s="75">
        <v>419</v>
      </c>
      <c r="B412" s="76" t="s">
        <v>471</v>
      </c>
      <c r="C412" s="77" t="s">
        <v>470</v>
      </c>
      <c r="D412" s="77"/>
      <c r="E412" s="78" t="s">
        <v>6</v>
      </c>
      <c r="F412" s="77" t="s">
        <v>112</v>
      </c>
      <c r="G412" s="79" t="s">
        <v>111</v>
      </c>
      <c r="H412" s="78"/>
      <c r="I412" s="78"/>
      <c r="J412" s="78" t="s">
        <v>326</v>
      </c>
      <c r="K412" s="88" t="s">
        <v>42</v>
      </c>
      <c r="L412" s="82" t="str">
        <f>IFERROR(VLOOKUP($B412,[1]Sheet2!$A:$L,11,FALSE()),"")</f>
        <v/>
      </c>
      <c r="M412" s="90">
        <v>46021</v>
      </c>
      <c r="N412" s="78" t="s">
        <v>469</v>
      </c>
      <c r="O412" s="78"/>
      <c r="P412" s="78"/>
      <c r="Q412" s="78" t="str">
        <f>IFERROR(VLOOKUP($B412,[1]Sheet2!$A:$L,12,FALSE()),"")</f>
        <v/>
      </c>
      <c r="R412" s="85">
        <f t="shared" ca="1" si="12"/>
        <v>-226</v>
      </c>
      <c r="S412" s="86" t="str">
        <f t="shared" ca="1" si="13"/>
        <v>EXPIRED</v>
      </c>
    </row>
    <row r="413" spans="1:19" ht="15.75" customHeight="1">
      <c r="A413" s="75">
        <v>420</v>
      </c>
      <c r="B413" s="76" t="s">
        <v>468</v>
      </c>
      <c r="C413" s="77" t="s">
        <v>467</v>
      </c>
      <c r="D413" s="77"/>
      <c r="E413" s="78" t="s">
        <v>6</v>
      </c>
      <c r="F413" s="77" t="s">
        <v>112</v>
      </c>
      <c r="G413" s="79" t="s">
        <v>111</v>
      </c>
      <c r="H413" s="78"/>
      <c r="I413" s="78"/>
      <c r="J413" s="78" t="s">
        <v>326</v>
      </c>
      <c r="K413" s="81" t="s">
        <v>2</v>
      </c>
      <c r="L413" s="82">
        <f>IFERROR(VLOOKUP($B413,[1]Sheet2!$A:$L,11,FALSE()),"")</f>
        <v>46000</v>
      </c>
      <c r="M413" s="83">
        <v>46386</v>
      </c>
      <c r="N413" s="84">
        <v>46386</v>
      </c>
      <c r="O413" s="78"/>
      <c r="P413" s="78" t="s">
        <v>0</v>
      </c>
      <c r="Q413" s="78" t="s">
        <v>391</v>
      </c>
      <c r="R413" s="85">
        <f t="shared" ca="1" si="12"/>
        <v>139</v>
      </c>
      <c r="S413" s="86" t="str">
        <f t="shared" ca="1" si="13"/>
        <v>✓ OK</v>
      </c>
    </row>
    <row r="414" spans="1:19" ht="15.75" customHeight="1">
      <c r="A414" s="75">
        <v>421</v>
      </c>
      <c r="B414" s="76" t="s">
        <v>466</v>
      </c>
      <c r="C414" s="77" t="s">
        <v>465</v>
      </c>
      <c r="D414" s="77"/>
      <c r="E414" s="78" t="s">
        <v>6</v>
      </c>
      <c r="F414" s="77" t="s">
        <v>112</v>
      </c>
      <c r="G414" s="79" t="s">
        <v>111</v>
      </c>
      <c r="H414" s="78"/>
      <c r="I414" s="78"/>
      <c r="J414" s="78" t="s">
        <v>326</v>
      </c>
      <c r="K414" s="81" t="s">
        <v>2</v>
      </c>
      <c r="L414" s="82">
        <f>IFERROR(VLOOKUP($B414,[1]Sheet2!$A:$L,11,FALSE()),"")</f>
        <v>46001</v>
      </c>
      <c r="M414" s="83">
        <v>46386</v>
      </c>
      <c r="N414" s="84">
        <v>46386</v>
      </c>
      <c r="O414" s="78" t="s">
        <v>1</v>
      </c>
      <c r="P414" s="78"/>
      <c r="Q414" s="78" t="str">
        <f>IFERROR(VLOOKUP($B414,[1]Sheet2!$A:$L,12,FALSE()),"")</f>
        <v>Dubai</v>
      </c>
      <c r="R414" s="85">
        <f t="shared" ca="1" si="12"/>
        <v>139</v>
      </c>
      <c r="S414" s="86" t="str">
        <f t="shared" ca="1" si="13"/>
        <v>✓ OK</v>
      </c>
    </row>
    <row r="415" spans="1:19" ht="15.75" customHeight="1">
      <c r="A415" s="75">
        <v>422</v>
      </c>
      <c r="B415" s="76" t="s">
        <v>464</v>
      </c>
      <c r="C415" s="77" t="s">
        <v>463</v>
      </c>
      <c r="D415" s="77"/>
      <c r="E415" s="78" t="s">
        <v>6</v>
      </c>
      <c r="F415" s="77" t="s">
        <v>112</v>
      </c>
      <c r="G415" s="79" t="s">
        <v>111</v>
      </c>
      <c r="H415" s="78"/>
      <c r="I415" s="78"/>
      <c r="J415" s="78" t="s">
        <v>326</v>
      </c>
      <c r="K415" s="81" t="s">
        <v>2</v>
      </c>
      <c r="L415" s="82">
        <f>IFERROR(VLOOKUP($B415,[1]Sheet2!$A:$L,11,FALSE()),"")</f>
        <v>46030</v>
      </c>
      <c r="M415" s="83">
        <v>46386</v>
      </c>
      <c r="N415" s="84">
        <v>46386</v>
      </c>
      <c r="O415" s="78"/>
      <c r="P415" s="78"/>
      <c r="Q415" s="78" t="str">
        <f>IFERROR(VLOOKUP($B415,[1]Sheet2!$A:$L,12,FALSE()),"")</f>
        <v>Dubai</v>
      </c>
      <c r="R415" s="85">
        <f t="shared" ca="1" si="12"/>
        <v>139</v>
      </c>
      <c r="S415" s="86" t="str">
        <f t="shared" ca="1" si="13"/>
        <v>✓ OK</v>
      </c>
    </row>
    <row r="416" spans="1:19" ht="15.75" customHeight="1">
      <c r="A416" s="75">
        <v>423</v>
      </c>
      <c r="B416" s="76" t="s">
        <v>462</v>
      </c>
      <c r="C416" s="77" t="s">
        <v>461</v>
      </c>
      <c r="D416" s="77"/>
      <c r="E416" s="78" t="s">
        <v>6</v>
      </c>
      <c r="F416" s="77" t="s">
        <v>112</v>
      </c>
      <c r="G416" s="79" t="s">
        <v>111</v>
      </c>
      <c r="H416" s="78"/>
      <c r="I416" s="78"/>
      <c r="J416" s="78" t="s">
        <v>326</v>
      </c>
      <c r="K416" s="81" t="s">
        <v>2</v>
      </c>
      <c r="L416" s="82" t="s">
        <v>439</v>
      </c>
      <c r="M416" s="83">
        <v>46386</v>
      </c>
      <c r="N416" s="84">
        <v>46386</v>
      </c>
      <c r="O416" s="78"/>
      <c r="P416" s="78"/>
      <c r="Q416" s="78" t="s">
        <v>57</v>
      </c>
      <c r="R416" s="85">
        <f t="shared" ca="1" si="12"/>
        <v>139</v>
      </c>
      <c r="S416" s="86" t="str">
        <f t="shared" ca="1" si="13"/>
        <v>✓ OK</v>
      </c>
    </row>
    <row r="417" spans="1:19" ht="15.75" customHeight="1">
      <c r="A417" s="75">
        <v>424</v>
      </c>
      <c r="B417" s="76" t="s">
        <v>460</v>
      </c>
      <c r="C417" s="77" t="s">
        <v>459</v>
      </c>
      <c r="D417" s="77"/>
      <c r="E417" s="78" t="s">
        <v>6</v>
      </c>
      <c r="F417" s="77" t="s">
        <v>112</v>
      </c>
      <c r="G417" s="79" t="s">
        <v>111</v>
      </c>
      <c r="H417" s="78"/>
      <c r="I417" s="78"/>
      <c r="J417" s="78" t="s">
        <v>326</v>
      </c>
      <c r="K417" s="88" t="s">
        <v>42</v>
      </c>
      <c r="L417" s="82" t="str">
        <f>IFERROR(VLOOKUP($B417,[1]Sheet2!$A:$L,11,FALSE()),"")</f>
        <v/>
      </c>
      <c r="M417" s="90">
        <v>46021</v>
      </c>
      <c r="N417" s="78" t="s">
        <v>371</v>
      </c>
      <c r="O417" s="78"/>
      <c r="P417" s="78"/>
      <c r="Q417" s="78" t="str">
        <f>IFERROR(VLOOKUP($B417,[1]Sheet2!$A:$L,12,FALSE()),"")</f>
        <v/>
      </c>
      <c r="R417" s="85">
        <f t="shared" ca="1" si="12"/>
        <v>-226</v>
      </c>
      <c r="S417" s="86" t="str">
        <f t="shared" ca="1" si="13"/>
        <v>EXPIRED</v>
      </c>
    </row>
    <row r="418" spans="1:19" ht="15.75" customHeight="1">
      <c r="A418" s="75">
        <v>425</v>
      </c>
      <c r="B418" s="76" t="s">
        <v>458</v>
      </c>
      <c r="C418" s="77" t="s">
        <v>457</v>
      </c>
      <c r="D418" s="77"/>
      <c r="E418" s="78" t="s">
        <v>6</v>
      </c>
      <c r="F418" s="77" t="s">
        <v>112</v>
      </c>
      <c r="G418" s="79" t="s">
        <v>111</v>
      </c>
      <c r="H418" s="78"/>
      <c r="I418" s="78"/>
      <c r="J418" s="78" t="s">
        <v>326</v>
      </c>
      <c r="K418" s="88" t="s">
        <v>42</v>
      </c>
      <c r="L418" s="82" t="str">
        <f>IFERROR(VLOOKUP($B418,[1]Sheet2!$A:$L,11,FALSE()),"")</f>
        <v/>
      </c>
      <c r="M418" s="90">
        <v>46200</v>
      </c>
      <c r="N418" s="78" t="s">
        <v>371</v>
      </c>
      <c r="O418" s="78"/>
      <c r="P418" s="78"/>
      <c r="Q418" s="78" t="str">
        <f>IFERROR(VLOOKUP($B418,[1]Sheet2!$A:$L,12,FALSE()),"")</f>
        <v/>
      </c>
      <c r="R418" s="85">
        <f t="shared" ca="1" si="12"/>
        <v>-47</v>
      </c>
      <c r="S418" s="86" t="str">
        <f t="shared" ca="1" si="13"/>
        <v>EXPIRED</v>
      </c>
    </row>
    <row r="419" spans="1:19" ht="15.75" customHeight="1">
      <c r="A419" s="75">
        <v>426</v>
      </c>
      <c r="B419" s="76" t="s">
        <v>456</v>
      </c>
      <c r="C419" s="77" t="s">
        <v>455</v>
      </c>
      <c r="D419" s="77"/>
      <c r="E419" s="78" t="s">
        <v>6</v>
      </c>
      <c r="F419" s="77" t="s">
        <v>112</v>
      </c>
      <c r="G419" s="79" t="s">
        <v>111</v>
      </c>
      <c r="H419" s="78"/>
      <c r="I419" s="78"/>
      <c r="J419" s="78" t="s">
        <v>326</v>
      </c>
      <c r="K419" s="81" t="s">
        <v>2</v>
      </c>
      <c r="L419" s="82">
        <f>IFERROR(VLOOKUP($B419,[1]Sheet2!$A:$L,11,FALSE()),"")</f>
        <v>46030</v>
      </c>
      <c r="M419" s="83">
        <v>46386</v>
      </c>
      <c r="N419" s="84">
        <v>46386</v>
      </c>
      <c r="O419" s="78"/>
      <c r="P419" s="78" t="s">
        <v>0</v>
      </c>
      <c r="Q419" s="78" t="s">
        <v>391</v>
      </c>
      <c r="R419" s="85">
        <f t="shared" ca="1" si="12"/>
        <v>139</v>
      </c>
      <c r="S419" s="86" t="str">
        <f t="shared" ca="1" si="13"/>
        <v>✓ OK</v>
      </c>
    </row>
    <row r="420" spans="1:19" ht="15.75" customHeight="1">
      <c r="A420" s="75">
        <v>427</v>
      </c>
      <c r="B420" s="76" t="s">
        <v>454</v>
      </c>
      <c r="C420" s="77" t="s">
        <v>453</v>
      </c>
      <c r="D420" s="77"/>
      <c r="E420" s="78" t="s">
        <v>6</v>
      </c>
      <c r="F420" s="77" t="s">
        <v>112</v>
      </c>
      <c r="G420" s="79" t="s">
        <v>111</v>
      </c>
      <c r="H420" s="78"/>
      <c r="I420" s="78"/>
      <c r="J420" s="78" t="s">
        <v>326</v>
      </c>
      <c r="K420" s="81" t="s">
        <v>2</v>
      </c>
      <c r="L420" s="82">
        <f>IFERROR(VLOOKUP($B420,[1]Sheet2!$A:$L,11,FALSE()),"")</f>
        <v>46000</v>
      </c>
      <c r="M420" s="83">
        <v>46386</v>
      </c>
      <c r="N420" s="84">
        <v>46386</v>
      </c>
      <c r="O420" s="78"/>
      <c r="P420" s="78"/>
      <c r="Q420" s="78" t="str">
        <f>IFERROR(VLOOKUP($B420,[1]Sheet2!$A:$L,12,FALSE()),"")</f>
        <v>Dubai</v>
      </c>
      <c r="R420" s="85">
        <f t="shared" ca="1" si="12"/>
        <v>139</v>
      </c>
      <c r="S420" s="86" t="str">
        <f t="shared" ca="1" si="13"/>
        <v>✓ OK</v>
      </c>
    </row>
    <row r="421" spans="1:19" ht="15.75" customHeight="1">
      <c r="A421" s="75">
        <v>428</v>
      </c>
      <c r="B421" s="76" t="s">
        <v>452</v>
      </c>
      <c r="C421" s="77" t="s">
        <v>451</v>
      </c>
      <c r="D421" s="77"/>
      <c r="E421" s="78" t="s">
        <v>6</v>
      </c>
      <c r="F421" s="77" t="s">
        <v>112</v>
      </c>
      <c r="G421" s="79" t="s">
        <v>111</v>
      </c>
      <c r="H421" s="78"/>
      <c r="I421" s="78"/>
      <c r="J421" s="78" t="s">
        <v>326</v>
      </c>
      <c r="K421" s="88" t="s">
        <v>42</v>
      </c>
      <c r="L421" s="82" t="str">
        <f>IFERROR(VLOOKUP($B421,[1]Sheet2!$A:$L,11,FALSE()),"")</f>
        <v/>
      </c>
      <c r="M421" s="90">
        <v>46200</v>
      </c>
      <c r="N421" s="78" t="s">
        <v>371</v>
      </c>
      <c r="O421" s="78"/>
      <c r="P421" s="78"/>
      <c r="Q421" s="78" t="str">
        <f>IFERROR(VLOOKUP($B421,[1]Sheet2!$A:$L,12,FALSE()),"")</f>
        <v/>
      </c>
      <c r="R421" s="85">
        <f t="shared" ca="1" si="12"/>
        <v>-47</v>
      </c>
      <c r="S421" s="86" t="str">
        <f t="shared" ca="1" si="13"/>
        <v>EXPIRED</v>
      </c>
    </row>
    <row r="422" spans="1:19" ht="15.75" customHeight="1">
      <c r="A422" s="75">
        <v>429</v>
      </c>
      <c r="B422" s="76" t="s">
        <v>450</v>
      </c>
      <c r="C422" s="77" t="s">
        <v>449</v>
      </c>
      <c r="D422" s="77"/>
      <c r="E422" s="78" t="s">
        <v>6</v>
      </c>
      <c r="F422" s="77" t="s">
        <v>112</v>
      </c>
      <c r="G422" s="79" t="s">
        <v>111</v>
      </c>
      <c r="H422" s="78"/>
      <c r="I422" s="78"/>
      <c r="J422" s="78" t="s">
        <v>326</v>
      </c>
      <c r="K422" s="88" t="s">
        <v>42</v>
      </c>
      <c r="L422" s="82" t="str">
        <f>IFERROR(VLOOKUP($B422,[1]Sheet2!$A:$L,11,FALSE()),"")</f>
        <v/>
      </c>
      <c r="M422" s="90">
        <v>46200</v>
      </c>
      <c r="N422" s="78" t="s">
        <v>371</v>
      </c>
      <c r="O422" s="78"/>
      <c r="P422" s="78"/>
      <c r="Q422" s="78" t="str">
        <f>IFERROR(VLOOKUP($B422,[1]Sheet2!$A:$L,12,FALSE()),"")</f>
        <v/>
      </c>
      <c r="R422" s="85">
        <f t="shared" ca="1" si="12"/>
        <v>-47</v>
      </c>
      <c r="S422" s="86" t="str">
        <f t="shared" ca="1" si="13"/>
        <v>EXPIRED</v>
      </c>
    </row>
    <row r="423" spans="1:19" ht="15.75" customHeight="1">
      <c r="A423" s="75">
        <v>430</v>
      </c>
      <c r="B423" s="76" t="s">
        <v>448</v>
      </c>
      <c r="C423" s="77" t="s">
        <v>447</v>
      </c>
      <c r="D423" s="77"/>
      <c r="E423" s="78" t="s">
        <v>6</v>
      </c>
      <c r="F423" s="77" t="s">
        <v>112</v>
      </c>
      <c r="G423" s="79" t="s">
        <v>111</v>
      </c>
      <c r="H423" s="78"/>
      <c r="I423" s="78"/>
      <c r="J423" s="78" t="s">
        <v>326</v>
      </c>
      <c r="K423" s="81" t="s">
        <v>2</v>
      </c>
      <c r="L423" s="82">
        <f>IFERROR(VLOOKUP($B423,[1]Sheet2!$A:$L,11,FALSE()),"")</f>
        <v>46030</v>
      </c>
      <c r="M423" s="83">
        <v>46386</v>
      </c>
      <c r="N423" s="84">
        <v>46386</v>
      </c>
      <c r="O423" s="78"/>
      <c r="P423" s="78"/>
      <c r="Q423" s="78" t="str">
        <f>IFERROR(VLOOKUP($B423,[1]Sheet2!$A:$L,12,FALSE()),"")</f>
        <v>Dubai</v>
      </c>
      <c r="R423" s="85">
        <f t="shared" ca="1" si="12"/>
        <v>139</v>
      </c>
      <c r="S423" s="86" t="str">
        <f t="shared" ca="1" si="13"/>
        <v>✓ OK</v>
      </c>
    </row>
    <row r="424" spans="1:19" ht="15.75" customHeight="1">
      <c r="A424" s="75">
        <v>431</v>
      </c>
      <c r="B424" s="76" t="s">
        <v>446</v>
      </c>
      <c r="C424" s="77" t="s">
        <v>445</v>
      </c>
      <c r="D424" s="77"/>
      <c r="E424" s="78" t="s">
        <v>6</v>
      </c>
      <c r="F424" s="77" t="s">
        <v>112</v>
      </c>
      <c r="G424" s="79" t="s">
        <v>111</v>
      </c>
      <c r="H424" s="78"/>
      <c r="I424" s="78"/>
      <c r="J424" s="78" t="s">
        <v>326</v>
      </c>
      <c r="K424" s="81" t="s">
        <v>2</v>
      </c>
      <c r="L424" s="82">
        <f>IFERROR(VLOOKUP($B424,[1]Sheet2!$A:$L,11,FALSE()),"")</f>
        <v>46001</v>
      </c>
      <c r="M424" s="83">
        <v>46386</v>
      </c>
      <c r="N424" s="84">
        <v>46386</v>
      </c>
      <c r="O424" s="78"/>
      <c r="P424" s="78"/>
      <c r="Q424" s="78" t="str">
        <f>IFERROR(VLOOKUP($B424,[1]Sheet2!$A:$L,12,FALSE()),"")</f>
        <v>Dubai</v>
      </c>
      <c r="R424" s="85">
        <f t="shared" ca="1" si="12"/>
        <v>139</v>
      </c>
      <c r="S424" s="86" t="str">
        <f t="shared" ca="1" si="13"/>
        <v>✓ OK</v>
      </c>
    </row>
    <row r="425" spans="1:19" ht="15.75" customHeight="1">
      <c r="A425" s="75">
        <v>432</v>
      </c>
      <c r="B425" s="76" t="s">
        <v>444</v>
      </c>
      <c r="C425" s="77" t="s">
        <v>443</v>
      </c>
      <c r="D425" s="77"/>
      <c r="E425" s="78" t="s">
        <v>6</v>
      </c>
      <c r="F425" s="77" t="s">
        <v>112</v>
      </c>
      <c r="G425" s="79" t="s">
        <v>111</v>
      </c>
      <c r="H425" s="78"/>
      <c r="I425" s="78"/>
      <c r="J425" s="78" t="s">
        <v>326</v>
      </c>
      <c r="K425" s="81" t="s">
        <v>2</v>
      </c>
      <c r="L425" s="82">
        <f>IFERROR(VLOOKUP($B425,[1]Sheet2!$A:$L,11,FALSE()),"")</f>
        <v>46000</v>
      </c>
      <c r="M425" s="83">
        <v>46386</v>
      </c>
      <c r="N425" s="84">
        <v>46386</v>
      </c>
      <c r="O425" s="78"/>
      <c r="P425" s="78" t="s">
        <v>0</v>
      </c>
      <c r="Q425" s="78" t="s">
        <v>391</v>
      </c>
      <c r="R425" s="85">
        <f t="shared" ca="1" si="12"/>
        <v>139</v>
      </c>
      <c r="S425" s="86" t="str">
        <f t="shared" ca="1" si="13"/>
        <v>✓ OK</v>
      </c>
    </row>
    <row r="426" spans="1:19" ht="15.75" customHeight="1">
      <c r="A426" s="75">
        <v>433</v>
      </c>
      <c r="B426" s="76" t="s">
        <v>442</v>
      </c>
      <c r="C426" s="77" t="s">
        <v>440</v>
      </c>
      <c r="D426" s="77"/>
      <c r="E426" s="78" t="s">
        <v>6</v>
      </c>
      <c r="F426" s="77" t="s">
        <v>112</v>
      </c>
      <c r="G426" s="79" t="s">
        <v>111</v>
      </c>
      <c r="H426" s="78"/>
      <c r="I426" s="78"/>
      <c r="J426" s="78" t="s">
        <v>326</v>
      </c>
      <c r="K426" s="81" t="s">
        <v>2</v>
      </c>
      <c r="L426" s="82">
        <f>IFERROR(VLOOKUP($B426,[1]Sheet2!$A:$L,11,FALSE()),"")</f>
        <v>46000</v>
      </c>
      <c r="M426" s="83">
        <v>46386</v>
      </c>
      <c r="N426" s="84">
        <v>46386</v>
      </c>
      <c r="O426" s="78"/>
      <c r="P426" s="78" t="s">
        <v>0</v>
      </c>
      <c r="Q426" s="78" t="s">
        <v>391</v>
      </c>
      <c r="R426" s="85">
        <f t="shared" ca="1" si="12"/>
        <v>139</v>
      </c>
      <c r="S426" s="86" t="str">
        <f t="shared" ca="1" si="13"/>
        <v>✓ OK</v>
      </c>
    </row>
    <row r="427" spans="1:19" ht="15.75" customHeight="1">
      <c r="A427" s="75">
        <v>434</v>
      </c>
      <c r="B427" s="76" t="s">
        <v>441</v>
      </c>
      <c r="C427" s="77" t="s">
        <v>440</v>
      </c>
      <c r="D427" s="77"/>
      <c r="E427" s="78" t="s">
        <v>6</v>
      </c>
      <c r="F427" s="77" t="s">
        <v>112</v>
      </c>
      <c r="G427" s="79" t="s">
        <v>111</v>
      </c>
      <c r="H427" s="78"/>
      <c r="I427" s="78"/>
      <c r="J427" s="78" t="s">
        <v>326</v>
      </c>
      <c r="K427" s="81" t="s">
        <v>2</v>
      </c>
      <c r="L427" s="82" t="s">
        <v>439</v>
      </c>
      <c r="M427" s="90">
        <v>46386</v>
      </c>
      <c r="N427" s="89">
        <v>46386</v>
      </c>
      <c r="O427" s="78"/>
      <c r="P427" s="78" t="s">
        <v>0</v>
      </c>
      <c r="Q427" s="78" t="s">
        <v>391</v>
      </c>
      <c r="R427" s="85">
        <f t="shared" ca="1" si="12"/>
        <v>139</v>
      </c>
      <c r="S427" s="86" t="str">
        <f t="shared" ca="1" si="13"/>
        <v>✓ OK</v>
      </c>
    </row>
    <row r="428" spans="1:19" ht="15.75" customHeight="1">
      <c r="A428" s="75">
        <v>435</v>
      </c>
      <c r="B428" s="76" t="s">
        <v>438</v>
      </c>
      <c r="C428" s="77" t="s">
        <v>437</v>
      </c>
      <c r="D428" s="77"/>
      <c r="E428" s="78" t="s">
        <v>6</v>
      </c>
      <c r="F428" s="77" t="s">
        <v>112</v>
      </c>
      <c r="G428" s="79" t="s">
        <v>111</v>
      </c>
      <c r="H428" s="78"/>
      <c r="I428" s="78"/>
      <c r="J428" s="78" t="s">
        <v>326</v>
      </c>
      <c r="K428" s="81" t="s">
        <v>2</v>
      </c>
      <c r="L428" s="82">
        <f>IFERROR(VLOOKUP($B428,[1]Sheet2!$A:$L,11,FALSE()),"")</f>
        <v>46000</v>
      </c>
      <c r="M428" s="83">
        <v>46386</v>
      </c>
      <c r="N428" s="84">
        <v>46386</v>
      </c>
      <c r="O428" s="78"/>
      <c r="P428" s="78"/>
      <c r="Q428" s="78" t="str">
        <f>IFERROR(VLOOKUP($B428,[1]Sheet2!$A:$L,12,FALSE()),"")</f>
        <v>Dubai</v>
      </c>
      <c r="R428" s="85">
        <f t="shared" ca="1" si="12"/>
        <v>139</v>
      </c>
      <c r="S428" s="86" t="str">
        <f t="shared" ca="1" si="13"/>
        <v>✓ OK</v>
      </c>
    </row>
    <row r="429" spans="1:19" ht="15.75" customHeight="1">
      <c r="A429" s="75">
        <v>436</v>
      </c>
      <c r="B429" s="76" t="s">
        <v>436</v>
      </c>
      <c r="C429" s="77" t="s">
        <v>435</v>
      </c>
      <c r="D429" s="77"/>
      <c r="E429" s="78" t="s">
        <v>6</v>
      </c>
      <c r="F429" s="77" t="s">
        <v>112</v>
      </c>
      <c r="G429" s="79" t="s">
        <v>111</v>
      </c>
      <c r="H429" s="78"/>
      <c r="I429" s="78"/>
      <c r="J429" s="78" t="s">
        <v>326</v>
      </c>
      <c r="K429" s="81" t="s">
        <v>2</v>
      </c>
      <c r="L429" s="82">
        <f>IFERROR(VLOOKUP($B429,[1]Sheet2!$A:$L,11,FALSE()),"")</f>
        <v>46000</v>
      </c>
      <c r="M429" s="83">
        <v>46386</v>
      </c>
      <c r="N429" s="84">
        <v>46386</v>
      </c>
      <c r="O429" s="78"/>
      <c r="P429" s="78"/>
      <c r="Q429" s="78" t="str">
        <f>IFERROR(VLOOKUP($B429,[1]Sheet2!$A:$L,12,FALSE()),"")</f>
        <v>Dubai</v>
      </c>
      <c r="R429" s="85">
        <f t="shared" ca="1" si="12"/>
        <v>139</v>
      </c>
      <c r="S429" s="86" t="str">
        <f t="shared" ca="1" si="13"/>
        <v>✓ OK</v>
      </c>
    </row>
    <row r="430" spans="1:19" ht="15.75" customHeight="1">
      <c r="A430" s="75">
        <v>437</v>
      </c>
      <c r="B430" s="76" t="s">
        <v>434</v>
      </c>
      <c r="C430" s="77" t="s">
        <v>433</v>
      </c>
      <c r="D430" s="77"/>
      <c r="E430" s="78" t="s">
        <v>6</v>
      </c>
      <c r="F430" s="77" t="s">
        <v>112</v>
      </c>
      <c r="G430" s="79" t="s">
        <v>111</v>
      </c>
      <c r="H430" s="78"/>
      <c r="I430" s="78"/>
      <c r="J430" s="78" t="s">
        <v>326</v>
      </c>
      <c r="K430" s="81" t="s">
        <v>2</v>
      </c>
      <c r="L430" s="82">
        <f>IFERROR(VLOOKUP($B430,[1]Sheet2!$A:$L,11,FALSE()),"")</f>
        <v>46030</v>
      </c>
      <c r="M430" s="83">
        <v>46386</v>
      </c>
      <c r="N430" s="84">
        <v>46386</v>
      </c>
      <c r="O430" s="78"/>
      <c r="P430" s="78" t="s">
        <v>0</v>
      </c>
      <c r="Q430" s="78" t="s">
        <v>391</v>
      </c>
      <c r="R430" s="85">
        <f t="shared" ca="1" si="12"/>
        <v>139</v>
      </c>
      <c r="S430" s="86" t="str">
        <f t="shared" ca="1" si="13"/>
        <v>✓ OK</v>
      </c>
    </row>
    <row r="431" spans="1:19" ht="15.75" customHeight="1">
      <c r="A431" s="75">
        <v>438</v>
      </c>
      <c r="B431" s="76" t="s">
        <v>432</v>
      </c>
      <c r="C431" s="77" t="s">
        <v>431</v>
      </c>
      <c r="D431" s="77"/>
      <c r="E431" s="78" t="s">
        <v>6</v>
      </c>
      <c r="F431" s="77" t="s">
        <v>112</v>
      </c>
      <c r="G431" s="79" t="s">
        <v>111</v>
      </c>
      <c r="H431" s="78"/>
      <c r="I431" s="78"/>
      <c r="J431" s="78" t="s">
        <v>326</v>
      </c>
      <c r="K431" s="81" t="s">
        <v>2</v>
      </c>
      <c r="L431" s="82">
        <f>IFERROR(VLOOKUP($B431,[1]Sheet2!$A:$L,11,FALSE()),"")</f>
        <v>46031</v>
      </c>
      <c r="M431" s="83">
        <v>46386</v>
      </c>
      <c r="N431" s="84">
        <v>46386</v>
      </c>
      <c r="O431" s="78"/>
      <c r="P431" s="78"/>
      <c r="Q431" s="78" t="str">
        <f>IFERROR(VLOOKUP($B431,[1]Sheet2!$A:$L,12,FALSE()),"")</f>
        <v>Dubai</v>
      </c>
      <c r="R431" s="85">
        <f t="shared" ca="1" si="12"/>
        <v>139</v>
      </c>
      <c r="S431" s="86" t="str">
        <f t="shared" ca="1" si="13"/>
        <v>✓ OK</v>
      </c>
    </row>
    <row r="432" spans="1:19" ht="15.75" customHeight="1">
      <c r="A432" s="75">
        <v>439</v>
      </c>
      <c r="B432" s="76" t="s">
        <v>430</v>
      </c>
      <c r="C432" s="77" t="s">
        <v>429</v>
      </c>
      <c r="D432" s="77"/>
      <c r="E432" s="78" t="s">
        <v>6</v>
      </c>
      <c r="F432" s="77" t="s">
        <v>112</v>
      </c>
      <c r="G432" s="79" t="s">
        <v>111</v>
      </c>
      <c r="H432" s="78"/>
      <c r="I432" s="78"/>
      <c r="J432" s="78" t="s">
        <v>326</v>
      </c>
      <c r="K432" s="81" t="s">
        <v>2</v>
      </c>
      <c r="L432" s="82" t="str">
        <f>IFERROR(VLOOKUP($B432,[1]Sheet2!$A:$L,11,FALSE()),"")</f>
        <v/>
      </c>
      <c r="M432" s="90">
        <v>46021</v>
      </c>
      <c r="N432" s="78" t="s">
        <v>93</v>
      </c>
      <c r="O432" s="78"/>
      <c r="P432" s="78"/>
      <c r="Q432" s="78" t="str">
        <f>IFERROR(VLOOKUP($B432,[1]Sheet2!$A:$L,12,FALSE()),"")</f>
        <v/>
      </c>
      <c r="R432" s="85">
        <f t="shared" ca="1" si="12"/>
        <v>-226</v>
      </c>
      <c r="S432" s="86" t="str">
        <f t="shared" ca="1" si="13"/>
        <v>EXPIRED</v>
      </c>
    </row>
    <row r="433" spans="1:19" ht="15.75" customHeight="1">
      <c r="A433" s="75">
        <v>440</v>
      </c>
      <c r="B433" s="76" t="s">
        <v>428</v>
      </c>
      <c r="C433" s="77" t="s">
        <v>427</v>
      </c>
      <c r="D433" s="77"/>
      <c r="E433" s="78" t="s">
        <v>6</v>
      </c>
      <c r="F433" s="77" t="s">
        <v>112</v>
      </c>
      <c r="G433" s="79" t="s">
        <v>111</v>
      </c>
      <c r="H433" s="78"/>
      <c r="I433" s="78"/>
      <c r="J433" s="78" t="s">
        <v>326</v>
      </c>
      <c r="K433" s="81" t="s">
        <v>2</v>
      </c>
      <c r="L433" s="82" t="str">
        <f>IFERROR(VLOOKUP($B433,[1]Sheet2!$A:$L,11,FALSE()),"")</f>
        <v/>
      </c>
      <c r="M433" s="90">
        <v>46021</v>
      </c>
      <c r="N433" s="78" t="s">
        <v>93</v>
      </c>
      <c r="O433" s="78"/>
      <c r="P433" s="78"/>
      <c r="Q433" s="78" t="str">
        <f>IFERROR(VLOOKUP($B433,[1]Sheet2!$A:$L,12,FALSE()),"")</f>
        <v/>
      </c>
      <c r="R433" s="85">
        <f t="shared" ca="1" si="12"/>
        <v>-226</v>
      </c>
      <c r="S433" s="86" t="str">
        <f t="shared" ca="1" si="13"/>
        <v>EXPIRED</v>
      </c>
    </row>
    <row r="434" spans="1:19" ht="15.75" customHeight="1">
      <c r="A434" s="75">
        <v>441</v>
      </c>
      <c r="B434" s="76" t="s">
        <v>426</v>
      </c>
      <c r="C434" s="77" t="s">
        <v>425</v>
      </c>
      <c r="D434" s="77"/>
      <c r="E434" s="78" t="s">
        <v>6</v>
      </c>
      <c r="F434" s="77" t="s">
        <v>112</v>
      </c>
      <c r="G434" s="79" t="s">
        <v>111</v>
      </c>
      <c r="H434" s="78"/>
      <c r="I434" s="78"/>
      <c r="J434" s="78" t="s">
        <v>326</v>
      </c>
      <c r="K434" s="88" t="s">
        <v>42</v>
      </c>
      <c r="L434" s="82" t="str">
        <f>IFERROR(VLOOKUP($B434,[1]Sheet2!$A:$L,11,FALSE()),"")</f>
        <v/>
      </c>
      <c r="M434" s="90">
        <v>46021</v>
      </c>
      <c r="N434" s="78" t="s">
        <v>93</v>
      </c>
      <c r="O434" s="78"/>
      <c r="P434" s="78"/>
      <c r="Q434" s="78" t="str">
        <f>IFERROR(VLOOKUP($B434,[1]Sheet2!$A:$L,12,FALSE()),"")</f>
        <v/>
      </c>
      <c r="R434" s="85">
        <f t="shared" ca="1" si="12"/>
        <v>-226</v>
      </c>
      <c r="S434" s="86" t="str">
        <f t="shared" ca="1" si="13"/>
        <v>EXPIRED</v>
      </c>
    </row>
    <row r="435" spans="1:19" ht="15.75" customHeight="1">
      <c r="A435" s="75">
        <v>442</v>
      </c>
      <c r="B435" s="76" t="s">
        <v>424</v>
      </c>
      <c r="C435" s="77" t="s">
        <v>423</v>
      </c>
      <c r="D435" s="77"/>
      <c r="E435" s="78" t="s">
        <v>6</v>
      </c>
      <c r="F435" s="77" t="s">
        <v>112</v>
      </c>
      <c r="G435" s="79" t="s">
        <v>111</v>
      </c>
      <c r="H435" s="78"/>
      <c r="I435" s="78"/>
      <c r="J435" s="78" t="s">
        <v>326</v>
      </c>
      <c r="K435" s="81" t="s">
        <v>2</v>
      </c>
      <c r="L435" s="82">
        <f>IFERROR(VLOOKUP($B435,[1]Sheet2!$A:$L,11,FALSE()),"")</f>
        <v>46031</v>
      </c>
      <c r="M435" s="83">
        <v>46386</v>
      </c>
      <c r="N435" s="84">
        <v>46386</v>
      </c>
      <c r="O435" s="78"/>
      <c r="P435" s="78"/>
      <c r="Q435" s="78" t="str">
        <f>IFERROR(VLOOKUP($B435,[1]Sheet2!$A:$L,12,FALSE()),"")</f>
        <v>Dubai</v>
      </c>
      <c r="R435" s="85">
        <f t="shared" ca="1" si="12"/>
        <v>139</v>
      </c>
      <c r="S435" s="86" t="str">
        <f t="shared" ca="1" si="13"/>
        <v>✓ OK</v>
      </c>
    </row>
    <row r="436" spans="1:19" ht="15.75" customHeight="1">
      <c r="A436" s="75">
        <v>443</v>
      </c>
      <c r="B436" s="76" t="s">
        <v>422</v>
      </c>
      <c r="C436" s="77" t="s">
        <v>421</v>
      </c>
      <c r="D436" s="77"/>
      <c r="E436" s="78" t="s">
        <v>6</v>
      </c>
      <c r="F436" s="77" t="s">
        <v>112</v>
      </c>
      <c r="G436" s="79" t="s">
        <v>111</v>
      </c>
      <c r="H436" s="78"/>
      <c r="I436" s="78"/>
      <c r="J436" s="78" t="s">
        <v>326</v>
      </c>
      <c r="K436" s="81" t="s">
        <v>2</v>
      </c>
      <c r="L436" s="82">
        <f>IFERROR(VLOOKUP($B436,[1]Sheet2!$A:$L,11,FALSE()),"")</f>
        <v>46031</v>
      </c>
      <c r="M436" s="83">
        <v>46386</v>
      </c>
      <c r="N436" s="84">
        <v>46386</v>
      </c>
      <c r="O436" s="78"/>
      <c r="P436" s="78"/>
      <c r="Q436" s="78" t="str">
        <f>IFERROR(VLOOKUP($B436,[1]Sheet2!$A:$L,12,FALSE()),"")</f>
        <v>Dubai</v>
      </c>
      <c r="R436" s="85">
        <f t="shared" ca="1" si="12"/>
        <v>139</v>
      </c>
      <c r="S436" s="86" t="str">
        <f t="shared" ca="1" si="13"/>
        <v>✓ OK</v>
      </c>
    </row>
    <row r="437" spans="1:19" ht="15.75" customHeight="1">
      <c r="A437" s="75">
        <v>444</v>
      </c>
      <c r="B437" s="76" t="s">
        <v>420</v>
      </c>
      <c r="C437" s="77" t="s">
        <v>419</v>
      </c>
      <c r="D437" s="77"/>
      <c r="E437" s="78" t="s">
        <v>6</v>
      </c>
      <c r="F437" s="77" t="s">
        <v>112</v>
      </c>
      <c r="G437" s="79" t="s">
        <v>111</v>
      </c>
      <c r="H437" s="78"/>
      <c r="I437" s="78"/>
      <c r="J437" s="78" t="s">
        <v>326</v>
      </c>
      <c r="K437" s="88" t="s">
        <v>42</v>
      </c>
      <c r="L437" s="82" t="str">
        <f>IFERROR(VLOOKUP($B437,[1]Sheet2!$A:$L,11,FALSE()),"")</f>
        <v/>
      </c>
      <c r="M437" s="90">
        <v>46021</v>
      </c>
      <c r="N437" s="78" t="s">
        <v>418</v>
      </c>
      <c r="O437" s="78"/>
      <c r="P437" s="78"/>
      <c r="Q437" s="78" t="str">
        <f>IFERROR(VLOOKUP($B437,[1]Sheet2!$A:$L,12,FALSE()),"")</f>
        <v/>
      </c>
      <c r="R437" s="85">
        <f t="shared" ca="1" si="12"/>
        <v>-226</v>
      </c>
      <c r="S437" s="86" t="str">
        <f t="shared" ca="1" si="13"/>
        <v>EXPIRED</v>
      </c>
    </row>
    <row r="438" spans="1:19" ht="15.75" customHeight="1">
      <c r="A438" s="75">
        <v>445</v>
      </c>
      <c r="B438" s="76" t="s">
        <v>417</v>
      </c>
      <c r="C438" s="77" t="s">
        <v>416</v>
      </c>
      <c r="D438" s="77"/>
      <c r="E438" s="78" t="s">
        <v>6</v>
      </c>
      <c r="F438" s="77" t="s">
        <v>112</v>
      </c>
      <c r="G438" s="79" t="s">
        <v>111</v>
      </c>
      <c r="H438" s="78"/>
      <c r="I438" s="78"/>
      <c r="J438" s="78" t="s">
        <v>326</v>
      </c>
      <c r="K438" s="81" t="s">
        <v>2</v>
      </c>
      <c r="L438" s="82">
        <f>IFERROR(VLOOKUP($B438,[1]Sheet2!$A:$L,11,FALSE()),"")</f>
        <v>46031</v>
      </c>
      <c r="M438" s="83">
        <v>46386</v>
      </c>
      <c r="N438" s="84">
        <v>46386</v>
      </c>
      <c r="O438" s="78"/>
      <c r="P438" s="78"/>
      <c r="Q438" s="78" t="str">
        <f>IFERROR(VLOOKUP($B438,[1]Sheet2!$A:$L,12,FALSE()),"")</f>
        <v>Dubai</v>
      </c>
      <c r="R438" s="85">
        <f t="shared" ca="1" si="12"/>
        <v>139</v>
      </c>
      <c r="S438" s="86" t="str">
        <f t="shared" ca="1" si="13"/>
        <v>✓ OK</v>
      </c>
    </row>
    <row r="439" spans="1:19" ht="15.75" customHeight="1">
      <c r="A439" s="75">
        <v>446</v>
      </c>
      <c r="B439" s="76" t="s">
        <v>415</v>
      </c>
      <c r="C439" s="77" t="s">
        <v>414</v>
      </c>
      <c r="D439" s="77"/>
      <c r="E439" s="78" t="s">
        <v>6</v>
      </c>
      <c r="F439" s="77" t="s">
        <v>112</v>
      </c>
      <c r="G439" s="79" t="s">
        <v>111</v>
      </c>
      <c r="H439" s="78"/>
      <c r="I439" s="78"/>
      <c r="J439" s="78" t="s">
        <v>326</v>
      </c>
      <c r="K439" s="81" t="s">
        <v>2</v>
      </c>
      <c r="L439" s="82">
        <f>IFERROR(VLOOKUP($B439,[1]Sheet2!$A:$L,11,FALSE()),"")</f>
        <v>46000</v>
      </c>
      <c r="M439" s="83">
        <v>46386</v>
      </c>
      <c r="N439" s="84">
        <v>46386</v>
      </c>
      <c r="O439" s="78"/>
      <c r="P439" s="78" t="s">
        <v>0</v>
      </c>
      <c r="Q439" s="78" t="s">
        <v>391</v>
      </c>
      <c r="R439" s="85">
        <f t="shared" ca="1" si="12"/>
        <v>139</v>
      </c>
      <c r="S439" s="86" t="str">
        <f t="shared" ca="1" si="13"/>
        <v>✓ OK</v>
      </c>
    </row>
    <row r="440" spans="1:19" ht="15.75" customHeight="1">
      <c r="A440" s="75">
        <v>447</v>
      </c>
      <c r="B440" s="76" t="s">
        <v>413</v>
      </c>
      <c r="C440" s="77" t="s">
        <v>412</v>
      </c>
      <c r="D440" s="77"/>
      <c r="E440" s="78" t="s">
        <v>6</v>
      </c>
      <c r="F440" s="77" t="s">
        <v>112</v>
      </c>
      <c r="G440" s="79" t="s">
        <v>111</v>
      </c>
      <c r="H440" s="78"/>
      <c r="I440" s="78"/>
      <c r="J440" s="78" t="s">
        <v>326</v>
      </c>
      <c r="K440" s="81" t="s">
        <v>2</v>
      </c>
      <c r="L440" s="82">
        <f>IFERROR(VLOOKUP($B440,[1]Sheet2!$A:$L,11,FALSE()),"")</f>
        <v>46000</v>
      </c>
      <c r="M440" s="83">
        <v>46386</v>
      </c>
      <c r="N440" s="84">
        <v>46386</v>
      </c>
      <c r="O440" s="78"/>
      <c r="P440" s="78" t="s">
        <v>0</v>
      </c>
      <c r="Q440" s="78" t="s">
        <v>391</v>
      </c>
      <c r="R440" s="85">
        <f t="shared" ca="1" si="12"/>
        <v>139</v>
      </c>
      <c r="S440" s="86" t="str">
        <f t="shared" ca="1" si="13"/>
        <v>✓ OK</v>
      </c>
    </row>
    <row r="441" spans="1:19" ht="15.75" customHeight="1">
      <c r="A441" s="75">
        <v>448</v>
      </c>
      <c r="B441" s="76" t="s">
        <v>411</v>
      </c>
      <c r="C441" s="77" t="s">
        <v>410</v>
      </c>
      <c r="D441" s="77"/>
      <c r="E441" s="78" t="s">
        <v>6</v>
      </c>
      <c r="F441" s="77" t="s">
        <v>112</v>
      </c>
      <c r="G441" s="79" t="s">
        <v>111</v>
      </c>
      <c r="H441" s="78"/>
      <c r="I441" s="78"/>
      <c r="J441" s="78" t="s">
        <v>326</v>
      </c>
      <c r="K441" s="81" t="s">
        <v>2</v>
      </c>
      <c r="L441" s="82">
        <f>IFERROR(VLOOKUP($B441,[1]Sheet2!$A:$L,11,FALSE()),"")</f>
        <v>46001</v>
      </c>
      <c r="M441" s="83">
        <v>46386</v>
      </c>
      <c r="N441" s="84">
        <v>46386</v>
      </c>
      <c r="O441" s="78"/>
      <c r="P441" s="78"/>
      <c r="Q441" s="78" t="str">
        <f>IFERROR(VLOOKUP($B441,[1]Sheet2!$A:$L,12,FALSE()),"")</f>
        <v>Dubai</v>
      </c>
      <c r="R441" s="85">
        <f t="shared" ca="1" si="12"/>
        <v>139</v>
      </c>
      <c r="S441" s="86" t="str">
        <f t="shared" ca="1" si="13"/>
        <v>✓ OK</v>
      </c>
    </row>
    <row r="442" spans="1:19" ht="15.75" customHeight="1">
      <c r="A442" s="75">
        <v>449</v>
      </c>
      <c r="B442" s="76" t="s">
        <v>409</v>
      </c>
      <c r="C442" s="77" t="s">
        <v>408</v>
      </c>
      <c r="D442" s="77"/>
      <c r="E442" s="78" t="s">
        <v>6</v>
      </c>
      <c r="F442" s="77" t="s">
        <v>112</v>
      </c>
      <c r="G442" s="79" t="s">
        <v>111</v>
      </c>
      <c r="H442" s="78"/>
      <c r="I442" s="78"/>
      <c r="J442" s="78" t="s">
        <v>326</v>
      </c>
      <c r="K442" s="81" t="s">
        <v>2</v>
      </c>
      <c r="L442" s="82" t="str">
        <f>IFERROR(VLOOKUP($B442,[1]Sheet2!$A:$L,11,FALSE()),"")</f>
        <v/>
      </c>
      <c r="M442" s="90">
        <v>46021</v>
      </c>
      <c r="N442" s="78" t="s">
        <v>93</v>
      </c>
      <c r="O442" s="78"/>
      <c r="P442" s="78"/>
      <c r="Q442" s="78" t="str">
        <f>IFERROR(VLOOKUP($B442,[1]Sheet2!$A:$L,12,FALSE()),"")</f>
        <v/>
      </c>
      <c r="R442" s="85">
        <f t="shared" ca="1" si="12"/>
        <v>-226</v>
      </c>
      <c r="S442" s="86" t="str">
        <f t="shared" ca="1" si="13"/>
        <v>EXPIRED</v>
      </c>
    </row>
    <row r="443" spans="1:19" ht="15.75" customHeight="1">
      <c r="A443" s="75">
        <v>450</v>
      </c>
      <c r="B443" s="76" t="s">
        <v>407</v>
      </c>
      <c r="C443" s="77" t="s">
        <v>406</v>
      </c>
      <c r="D443" s="77"/>
      <c r="E443" s="78" t="s">
        <v>6</v>
      </c>
      <c r="F443" s="77" t="s">
        <v>112</v>
      </c>
      <c r="G443" s="79" t="s">
        <v>111</v>
      </c>
      <c r="H443" s="78"/>
      <c r="I443" s="78"/>
      <c r="J443" s="78" t="s">
        <v>326</v>
      </c>
      <c r="K443" s="81" t="s">
        <v>2</v>
      </c>
      <c r="L443" s="82">
        <f>IFERROR(VLOOKUP($B443,[1]Sheet2!$A:$L,11,FALSE()),"")</f>
        <v>46031</v>
      </c>
      <c r="M443" s="83">
        <v>46386</v>
      </c>
      <c r="N443" s="84">
        <v>46386</v>
      </c>
      <c r="O443" s="78"/>
      <c r="P443" s="78"/>
      <c r="Q443" s="78" t="str">
        <f>IFERROR(VLOOKUP($B443,[1]Sheet2!$A:$L,12,FALSE()),"")</f>
        <v>Dubai</v>
      </c>
      <c r="R443" s="85">
        <f t="shared" ca="1" si="12"/>
        <v>139</v>
      </c>
      <c r="S443" s="86" t="str">
        <f t="shared" ca="1" si="13"/>
        <v>✓ OK</v>
      </c>
    </row>
    <row r="444" spans="1:19" ht="15.75" customHeight="1">
      <c r="A444" s="75">
        <v>451</v>
      </c>
      <c r="B444" s="76" t="s">
        <v>405</v>
      </c>
      <c r="C444" s="77" t="s">
        <v>404</v>
      </c>
      <c r="D444" s="77"/>
      <c r="E444" s="78" t="s">
        <v>6</v>
      </c>
      <c r="F444" s="77" t="s">
        <v>112</v>
      </c>
      <c r="G444" s="79" t="s">
        <v>111</v>
      </c>
      <c r="H444" s="78"/>
      <c r="I444" s="78"/>
      <c r="J444" s="78" t="s">
        <v>326</v>
      </c>
      <c r="K444" s="81" t="s">
        <v>2</v>
      </c>
      <c r="L444" s="82">
        <f>IFERROR(VLOOKUP($B444,[1]Sheet2!$A:$L,11,FALSE()),"")</f>
        <v>46000</v>
      </c>
      <c r="M444" s="83">
        <v>46386</v>
      </c>
      <c r="N444" s="84">
        <v>46386</v>
      </c>
      <c r="O444" s="78"/>
      <c r="P444" s="78" t="s">
        <v>0</v>
      </c>
      <c r="Q444" s="78" t="s">
        <v>391</v>
      </c>
      <c r="R444" s="85">
        <f t="shared" ca="1" si="12"/>
        <v>139</v>
      </c>
      <c r="S444" s="86" t="str">
        <f t="shared" ca="1" si="13"/>
        <v>✓ OK</v>
      </c>
    </row>
    <row r="445" spans="1:19" ht="15.75" customHeight="1">
      <c r="A445" s="75">
        <v>452</v>
      </c>
      <c r="B445" s="76" t="s">
        <v>403</v>
      </c>
      <c r="C445" s="77" t="s">
        <v>402</v>
      </c>
      <c r="D445" s="77"/>
      <c r="E445" s="78" t="s">
        <v>6</v>
      </c>
      <c r="F445" s="77" t="s">
        <v>112</v>
      </c>
      <c r="G445" s="79" t="s">
        <v>111</v>
      </c>
      <c r="H445" s="78"/>
      <c r="I445" s="78"/>
      <c r="J445" s="78" t="s">
        <v>326</v>
      </c>
      <c r="K445" s="81" t="s">
        <v>2</v>
      </c>
      <c r="L445" s="82">
        <f>IFERROR(VLOOKUP($B445,[1]Sheet2!$A:$L,11,FALSE()),"")</f>
        <v>46031</v>
      </c>
      <c r="M445" s="83">
        <v>46386</v>
      </c>
      <c r="N445" s="84">
        <v>46386</v>
      </c>
      <c r="O445" s="78"/>
      <c r="P445" s="78" t="s">
        <v>0</v>
      </c>
      <c r="Q445" s="78" t="s">
        <v>391</v>
      </c>
      <c r="R445" s="85">
        <f t="shared" ca="1" si="12"/>
        <v>139</v>
      </c>
      <c r="S445" s="86" t="str">
        <f t="shared" ca="1" si="13"/>
        <v>✓ OK</v>
      </c>
    </row>
    <row r="446" spans="1:19" ht="15.75" customHeight="1">
      <c r="A446" s="75">
        <v>453</v>
      </c>
      <c r="B446" s="76" t="s">
        <v>401</v>
      </c>
      <c r="C446" s="77" t="s">
        <v>400</v>
      </c>
      <c r="D446" s="77"/>
      <c r="E446" s="78" t="s">
        <v>6</v>
      </c>
      <c r="F446" s="77" t="s">
        <v>112</v>
      </c>
      <c r="G446" s="79" t="s">
        <v>111</v>
      </c>
      <c r="H446" s="78"/>
      <c r="I446" s="78"/>
      <c r="J446" s="78" t="s">
        <v>326</v>
      </c>
      <c r="K446" s="81" t="s">
        <v>2</v>
      </c>
      <c r="L446" s="82">
        <f>IFERROR(VLOOKUP($B446,[1]Sheet2!$A:$L,11,FALSE()),"")</f>
        <v>46001</v>
      </c>
      <c r="M446" s="83">
        <v>46386</v>
      </c>
      <c r="N446" s="84">
        <v>46386</v>
      </c>
      <c r="O446" s="78"/>
      <c r="P446" s="78"/>
      <c r="Q446" s="78" t="str">
        <f>IFERROR(VLOOKUP($B446,[1]Sheet2!$A:$L,12,FALSE()),"")</f>
        <v>Dubai</v>
      </c>
      <c r="R446" s="85">
        <f t="shared" ca="1" si="12"/>
        <v>139</v>
      </c>
      <c r="S446" s="86" t="str">
        <f t="shared" ca="1" si="13"/>
        <v>✓ OK</v>
      </c>
    </row>
    <row r="447" spans="1:19" ht="15.75" customHeight="1">
      <c r="A447" s="75">
        <v>454</v>
      </c>
      <c r="B447" s="76" t="s">
        <v>399</v>
      </c>
      <c r="C447" s="77" t="s">
        <v>398</v>
      </c>
      <c r="D447" s="77"/>
      <c r="E447" s="78" t="s">
        <v>6</v>
      </c>
      <c r="F447" s="77" t="s">
        <v>112</v>
      </c>
      <c r="G447" s="79" t="s">
        <v>111</v>
      </c>
      <c r="H447" s="78"/>
      <c r="I447" s="78"/>
      <c r="J447" s="78" t="s">
        <v>326</v>
      </c>
      <c r="K447" s="81" t="s">
        <v>2</v>
      </c>
      <c r="L447" s="82">
        <f>IFERROR(VLOOKUP($B447,[1]Sheet2!$A:$L,11,FALSE()),"")</f>
        <v>46031</v>
      </c>
      <c r="M447" s="83">
        <v>46386</v>
      </c>
      <c r="N447" s="84">
        <v>46386</v>
      </c>
      <c r="O447" s="78"/>
      <c r="P447" s="78"/>
      <c r="Q447" s="78" t="str">
        <f>IFERROR(VLOOKUP($B447,[1]Sheet2!$A:$L,12,FALSE()),"")</f>
        <v>Dubai</v>
      </c>
      <c r="R447" s="85">
        <f t="shared" ca="1" si="12"/>
        <v>139</v>
      </c>
      <c r="S447" s="86" t="str">
        <f t="shared" ca="1" si="13"/>
        <v>✓ OK</v>
      </c>
    </row>
    <row r="448" spans="1:19" ht="15.75" customHeight="1">
      <c r="A448" s="75">
        <v>455</v>
      </c>
      <c r="B448" s="76" t="s">
        <v>397</v>
      </c>
      <c r="C448" s="77" t="s">
        <v>396</v>
      </c>
      <c r="D448" s="77"/>
      <c r="E448" s="78" t="s">
        <v>6</v>
      </c>
      <c r="F448" s="77" t="s">
        <v>112</v>
      </c>
      <c r="G448" s="79" t="s">
        <v>111</v>
      </c>
      <c r="H448" s="78"/>
      <c r="I448" s="78"/>
      <c r="J448" s="78" t="s">
        <v>326</v>
      </c>
      <c r="K448" s="81" t="s">
        <v>2</v>
      </c>
      <c r="L448" s="82">
        <f>IFERROR(VLOOKUP($B448,[1]Sheet2!$A:$L,11,FALSE()),"")</f>
        <v>46020</v>
      </c>
      <c r="M448" s="83">
        <v>46386</v>
      </c>
      <c r="N448" s="84">
        <v>46386</v>
      </c>
      <c r="O448" s="78"/>
      <c r="P448" s="78"/>
      <c r="Q448" s="78" t="str">
        <f>IFERROR(VLOOKUP($B448,[1]Sheet2!$A:$L,12,FALSE()),"")</f>
        <v>Dubai</v>
      </c>
      <c r="R448" s="85">
        <f t="shared" ca="1" si="12"/>
        <v>139</v>
      </c>
      <c r="S448" s="86" t="str">
        <f t="shared" ca="1" si="13"/>
        <v>✓ OK</v>
      </c>
    </row>
    <row r="449" spans="1:19" ht="15.75" customHeight="1">
      <c r="A449" s="75">
        <v>456</v>
      </c>
      <c r="B449" s="76" t="s">
        <v>395</v>
      </c>
      <c r="C449" s="77" t="s">
        <v>394</v>
      </c>
      <c r="D449" s="77"/>
      <c r="E449" s="78" t="s">
        <v>6</v>
      </c>
      <c r="F449" s="77" t="s">
        <v>112</v>
      </c>
      <c r="G449" s="79" t="s">
        <v>111</v>
      </c>
      <c r="H449" s="78"/>
      <c r="I449" s="78"/>
      <c r="J449" s="78" t="s">
        <v>326</v>
      </c>
      <c r="K449" s="81" t="s">
        <v>2</v>
      </c>
      <c r="L449" s="82">
        <f>IFERROR(VLOOKUP($B449,[1]Sheet2!$A:$L,11,FALSE()),"")</f>
        <v>46000</v>
      </c>
      <c r="M449" s="83">
        <v>46386</v>
      </c>
      <c r="N449" s="84">
        <v>46386</v>
      </c>
      <c r="O449" s="78"/>
      <c r="P449" s="78"/>
      <c r="Q449" s="78" t="str">
        <f>IFERROR(VLOOKUP($B449,[1]Sheet2!$A:$L,12,FALSE()),"")</f>
        <v>Dubai</v>
      </c>
      <c r="R449" s="85">
        <f t="shared" ca="1" si="12"/>
        <v>139</v>
      </c>
      <c r="S449" s="86" t="str">
        <f t="shared" ca="1" si="13"/>
        <v>✓ OK</v>
      </c>
    </row>
    <row r="450" spans="1:19" ht="15.75" customHeight="1">
      <c r="A450" s="75">
        <v>457</v>
      </c>
      <c r="B450" s="76" t="s">
        <v>393</v>
      </c>
      <c r="C450" s="77" t="s">
        <v>392</v>
      </c>
      <c r="D450" s="77"/>
      <c r="E450" s="78" t="s">
        <v>6</v>
      </c>
      <c r="F450" s="77" t="s">
        <v>112</v>
      </c>
      <c r="G450" s="79" t="s">
        <v>111</v>
      </c>
      <c r="H450" s="78"/>
      <c r="I450" s="78"/>
      <c r="J450" s="78" t="s">
        <v>326</v>
      </c>
      <c r="K450" s="81" t="s">
        <v>2</v>
      </c>
      <c r="L450" s="82">
        <f>IFERROR(VLOOKUP($B450,[1]Sheet2!$A:$L,11,FALSE()),"")</f>
        <v>46000</v>
      </c>
      <c r="M450" s="83">
        <v>46386</v>
      </c>
      <c r="N450" s="84">
        <v>46386</v>
      </c>
      <c r="O450" s="78" t="s">
        <v>1</v>
      </c>
      <c r="P450" s="78" t="s">
        <v>0</v>
      </c>
      <c r="Q450" s="78" t="s">
        <v>391</v>
      </c>
      <c r="R450" s="85">
        <f t="shared" ref="R450:R513" ca="1" si="14">IF(ISNUMBER(M450),INT(M450)-INT(TODAY()),"")</f>
        <v>139</v>
      </c>
      <c r="S450" s="86" t="str">
        <f t="shared" ref="S450:S513" ca="1" si="15">IF(R450="","—",IF(R450&lt;0,"EXPIRED",IF(R450&lt;=30,"⚠ EXPIRES SOON",IF(R450&lt;=90,"⚡ 90 Days","✓ OK"))))</f>
        <v>✓ OK</v>
      </c>
    </row>
    <row r="451" spans="1:19" ht="15.75" customHeight="1">
      <c r="A451" s="75">
        <v>458</v>
      </c>
      <c r="B451" s="76" t="s">
        <v>390</v>
      </c>
      <c r="C451" s="77" t="s">
        <v>389</v>
      </c>
      <c r="D451" s="77"/>
      <c r="E451" s="78" t="s">
        <v>6</v>
      </c>
      <c r="F451" s="77" t="s">
        <v>112</v>
      </c>
      <c r="G451" s="79" t="s">
        <v>111</v>
      </c>
      <c r="H451" s="78"/>
      <c r="I451" s="78"/>
      <c r="J451" s="78" t="s">
        <v>326</v>
      </c>
      <c r="K451" s="81" t="s">
        <v>2</v>
      </c>
      <c r="L451" s="82">
        <f>IFERROR(VLOOKUP($B451,[1]Sheet2!$A:$L,11,FALSE()),"")</f>
        <v>46031</v>
      </c>
      <c r="M451" s="83">
        <v>46386</v>
      </c>
      <c r="N451" s="84">
        <v>46386</v>
      </c>
      <c r="O451" s="78"/>
      <c r="P451" s="78"/>
      <c r="Q451" s="78" t="str">
        <f>IFERROR(VLOOKUP($B451,[1]Sheet2!$A:$L,12,FALSE()),"")</f>
        <v>Dubai</v>
      </c>
      <c r="R451" s="85">
        <f t="shared" ca="1" si="14"/>
        <v>139</v>
      </c>
      <c r="S451" s="86" t="str">
        <f t="shared" ca="1" si="15"/>
        <v>✓ OK</v>
      </c>
    </row>
    <row r="452" spans="1:19" ht="15.75" customHeight="1">
      <c r="A452" s="75">
        <v>459</v>
      </c>
      <c r="B452" s="76" t="s">
        <v>388</v>
      </c>
      <c r="C452" s="77" t="s">
        <v>387</v>
      </c>
      <c r="D452" s="77"/>
      <c r="E452" s="78" t="s">
        <v>6</v>
      </c>
      <c r="F452" s="77" t="s">
        <v>112</v>
      </c>
      <c r="G452" s="79" t="s">
        <v>111</v>
      </c>
      <c r="H452" s="78"/>
      <c r="I452" s="78"/>
      <c r="J452" s="78" t="s">
        <v>326</v>
      </c>
      <c r="K452" s="81" t="s">
        <v>2</v>
      </c>
      <c r="L452" s="82">
        <f>IFERROR(VLOOKUP($B452,[1]Sheet2!$A:$L,11,FALSE()),"")</f>
        <v>46031</v>
      </c>
      <c r="M452" s="83">
        <v>46386</v>
      </c>
      <c r="N452" s="84">
        <v>46386</v>
      </c>
      <c r="O452" s="78"/>
      <c r="P452" s="78"/>
      <c r="Q452" s="78" t="str">
        <f>IFERROR(VLOOKUP($B452,[1]Sheet2!$A:$L,12,FALSE()),"")</f>
        <v>Dubai</v>
      </c>
      <c r="R452" s="85">
        <f t="shared" ca="1" si="14"/>
        <v>139</v>
      </c>
      <c r="S452" s="86" t="str">
        <f t="shared" ca="1" si="15"/>
        <v>✓ OK</v>
      </c>
    </row>
    <row r="453" spans="1:19" ht="15.75" customHeight="1">
      <c r="A453" s="75">
        <v>460</v>
      </c>
      <c r="B453" s="76" t="s">
        <v>386</v>
      </c>
      <c r="C453" s="77" t="s">
        <v>385</v>
      </c>
      <c r="D453" s="77"/>
      <c r="E453" s="78" t="s">
        <v>6</v>
      </c>
      <c r="F453" s="77" t="s">
        <v>112</v>
      </c>
      <c r="G453" s="79" t="s">
        <v>111</v>
      </c>
      <c r="H453" s="78"/>
      <c r="I453" s="78"/>
      <c r="J453" s="78" t="s">
        <v>326</v>
      </c>
      <c r="K453" s="81" t="s">
        <v>2</v>
      </c>
      <c r="L453" s="82">
        <f>IFERROR(VLOOKUP($B453,[1]Sheet2!$A:$L,11,FALSE()),"")</f>
        <v>46001</v>
      </c>
      <c r="M453" s="83">
        <v>46386</v>
      </c>
      <c r="N453" s="84">
        <v>46386</v>
      </c>
      <c r="O453" s="78"/>
      <c r="P453" s="78"/>
      <c r="Q453" s="78" t="str">
        <f>IFERROR(VLOOKUP($B453,[1]Sheet2!$A:$L,12,FALSE()),"")</f>
        <v>Dubai</v>
      </c>
      <c r="R453" s="85">
        <f t="shared" ca="1" si="14"/>
        <v>139</v>
      </c>
      <c r="S453" s="86" t="str">
        <f t="shared" ca="1" si="15"/>
        <v>✓ OK</v>
      </c>
    </row>
    <row r="454" spans="1:19" ht="15.75" customHeight="1">
      <c r="A454" s="75">
        <v>461</v>
      </c>
      <c r="B454" s="76" t="s">
        <v>384</v>
      </c>
      <c r="C454" s="77" t="s">
        <v>383</v>
      </c>
      <c r="D454" s="77"/>
      <c r="E454" s="78" t="s">
        <v>6</v>
      </c>
      <c r="F454" s="77" t="s">
        <v>112</v>
      </c>
      <c r="G454" s="79" t="s">
        <v>111</v>
      </c>
      <c r="H454" s="78"/>
      <c r="I454" s="78"/>
      <c r="J454" s="78" t="s">
        <v>326</v>
      </c>
      <c r="K454" s="81" t="s">
        <v>2</v>
      </c>
      <c r="L454" s="82">
        <f>IFERROR(VLOOKUP($B454,[1]Sheet2!$A:$L,11,FALSE()),"")</f>
        <v>46031</v>
      </c>
      <c r="M454" s="83">
        <v>46386</v>
      </c>
      <c r="N454" s="84">
        <v>46386</v>
      </c>
      <c r="O454" s="78"/>
      <c r="P454" s="78"/>
      <c r="Q454" s="78" t="str">
        <f>IFERROR(VLOOKUP($B454,[1]Sheet2!$A:$L,12,FALSE()),"")</f>
        <v>Dubai</v>
      </c>
      <c r="R454" s="85">
        <f t="shared" ca="1" si="14"/>
        <v>139</v>
      </c>
      <c r="S454" s="86" t="str">
        <f t="shared" ca="1" si="15"/>
        <v>✓ OK</v>
      </c>
    </row>
    <row r="455" spans="1:19" ht="15.75" customHeight="1">
      <c r="A455" s="75">
        <v>462</v>
      </c>
      <c r="B455" s="76" t="s">
        <v>382</v>
      </c>
      <c r="C455" s="77" t="s">
        <v>381</v>
      </c>
      <c r="D455" s="77"/>
      <c r="E455" s="78" t="s">
        <v>6</v>
      </c>
      <c r="F455" s="77" t="s">
        <v>112</v>
      </c>
      <c r="G455" s="79" t="s">
        <v>111</v>
      </c>
      <c r="H455" s="78"/>
      <c r="I455" s="78"/>
      <c r="J455" s="78" t="s">
        <v>326</v>
      </c>
      <c r="K455" s="81" t="s">
        <v>2</v>
      </c>
      <c r="L455" s="82">
        <f>IFERROR(VLOOKUP($B455,[1]Sheet2!$A:$L,11,FALSE()),"")</f>
        <v>46001</v>
      </c>
      <c r="M455" s="83">
        <v>46386</v>
      </c>
      <c r="N455" s="84">
        <v>46386</v>
      </c>
      <c r="O455" s="78"/>
      <c r="P455" s="78"/>
      <c r="Q455" s="78" t="str">
        <f>IFERROR(VLOOKUP($B455,[1]Sheet2!$A:$L,12,FALSE()),"")</f>
        <v>Dubai</v>
      </c>
      <c r="R455" s="85">
        <f t="shared" ca="1" si="14"/>
        <v>139</v>
      </c>
      <c r="S455" s="86" t="str">
        <f t="shared" ca="1" si="15"/>
        <v>✓ OK</v>
      </c>
    </row>
    <row r="456" spans="1:19" ht="15.75" customHeight="1">
      <c r="A456" s="75">
        <v>463</v>
      </c>
      <c r="B456" s="76" t="s">
        <v>380</v>
      </c>
      <c r="C456" s="77" t="s">
        <v>379</v>
      </c>
      <c r="D456" s="77"/>
      <c r="E456" s="78" t="s">
        <v>6</v>
      </c>
      <c r="F456" s="77" t="s">
        <v>112</v>
      </c>
      <c r="G456" s="79" t="s">
        <v>111</v>
      </c>
      <c r="H456" s="78"/>
      <c r="I456" s="78"/>
      <c r="J456" s="78" t="s">
        <v>326</v>
      </c>
      <c r="K456" s="88" t="s">
        <v>42</v>
      </c>
      <c r="L456" s="82" t="str">
        <f>IFERROR(VLOOKUP($B456,[1]Sheet2!$A:$L,11,FALSE()),"")</f>
        <v/>
      </c>
      <c r="M456" s="83">
        <v>46386</v>
      </c>
      <c r="N456" s="84">
        <v>46386</v>
      </c>
      <c r="O456" s="78"/>
      <c r="P456" s="78"/>
      <c r="Q456" s="78" t="str">
        <f>IFERROR(VLOOKUP($B456,[1]Sheet2!$A:$L,12,FALSE()),"")</f>
        <v/>
      </c>
      <c r="R456" s="85">
        <f t="shared" ca="1" si="14"/>
        <v>139</v>
      </c>
      <c r="S456" s="86" t="str">
        <f t="shared" ca="1" si="15"/>
        <v>✓ OK</v>
      </c>
    </row>
    <row r="457" spans="1:19" ht="15.75" customHeight="1">
      <c r="A457" s="75">
        <v>465</v>
      </c>
      <c r="B457" s="76" t="s">
        <v>378</v>
      </c>
      <c r="C457" s="77" t="s">
        <v>377</v>
      </c>
      <c r="D457" s="77"/>
      <c r="E457" s="78" t="s">
        <v>6</v>
      </c>
      <c r="F457" s="77" t="s">
        <v>112</v>
      </c>
      <c r="G457" s="79" t="s">
        <v>111</v>
      </c>
      <c r="H457" s="78"/>
      <c r="I457" s="78"/>
      <c r="J457" s="78" t="s">
        <v>326</v>
      </c>
      <c r="K457" s="88" t="s">
        <v>42</v>
      </c>
      <c r="L457" s="82" t="str">
        <f>IFERROR(VLOOKUP($B457,[1]Sheet2!$A:$L,11,FALSE()),"")</f>
        <v/>
      </c>
      <c r="M457" s="90">
        <v>46191</v>
      </c>
      <c r="N457" s="78" t="s">
        <v>133</v>
      </c>
      <c r="O457" s="78"/>
      <c r="P457" s="78"/>
      <c r="Q457" s="78" t="str">
        <f>IFERROR(VLOOKUP($B457,[1]Sheet2!$A:$L,12,FALSE()),"")</f>
        <v/>
      </c>
      <c r="R457" s="85">
        <f t="shared" ca="1" si="14"/>
        <v>-56</v>
      </c>
      <c r="S457" s="86" t="str">
        <f t="shared" ca="1" si="15"/>
        <v>EXPIRED</v>
      </c>
    </row>
    <row r="458" spans="1:19" ht="15.75" customHeight="1">
      <c r="A458" s="75">
        <v>466</v>
      </c>
      <c r="B458" s="76" t="s">
        <v>376</v>
      </c>
      <c r="C458" s="77" t="s">
        <v>375</v>
      </c>
      <c r="D458" s="77"/>
      <c r="E458" s="78" t="s">
        <v>6</v>
      </c>
      <c r="F458" s="77" t="s">
        <v>112</v>
      </c>
      <c r="G458" s="79" t="s">
        <v>111</v>
      </c>
      <c r="H458" s="78"/>
      <c r="I458" s="78"/>
      <c r="J458" s="78" t="s">
        <v>326</v>
      </c>
      <c r="K458" s="81" t="s">
        <v>2</v>
      </c>
      <c r="L458" s="82" t="s">
        <v>374</v>
      </c>
      <c r="M458" s="83">
        <v>46386</v>
      </c>
      <c r="N458" s="84">
        <v>46386</v>
      </c>
      <c r="O458" s="78"/>
      <c r="P458" s="78"/>
      <c r="Q458" s="78" t="s">
        <v>57</v>
      </c>
      <c r="R458" s="85">
        <f t="shared" ca="1" si="14"/>
        <v>139</v>
      </c>
      <c r="S458" s="86" t="str">
        <f t="shared" ca="1" si="15"/>
        <v>✓ OK</v>
      </c>
    </row>
    <row r="459" spans="1:19" ht="15.75" customHeight="1">
      <c r="A459" s="75">
        <v>467</v>
      </c>
      <c r="B459" s="76" t="s">
        <v>373</v>
      </c>
      <c r="C459" s="77" t="s">
        <v>372</v>
      </c>
      <c r="D459" s="77"/>
      <c r="E459" s="78" t="s">
        <v>6</v>
      </c>
      <c r="F459" s="77" t="s">
        <v>112</v>
      </c>
      <c r="G459" s="79" t="s">
        <v>111</v>
      </c>
      <c r="H459" s="78"/>
      <c r="I459" s="78"/>
      <c r="J459" s="78" t="s">
        <v>326</v>
      </c>
      <c r="K459" s="88" t="s">
        <v>42</v>
      </c>
      <c r="L459" s="82" t="str">
        <f>IFERROR(VLOOKUP($B459,[1]Sheet2!$A:$L,11,FALSE()),"")</f>
        <v/>
      </c>
      <c r="M459" s="90">
        <v>45545</v>
      </c>
      <c r="N459" s="78" t="s">
        <v>371</v>
      </c>
      <c r="O459" s="78"/>
      <c r="P459" s="78"/>
      <c r="Q459" s="78" t="str">
        <f>IFERROR(VLOOKUP($B459,[1]Sheet2!$A:$L,12,FALSE()),"")</f>
        <v/>
      </c>
      <c r="R459" s="85">
        <f t="shared" ca="1" si="14"/>
        <v>-702</v>
      </c>
      <c r="S459" s="86" t="str">
        <f t="shared" ca="1" si="15"/>
        <v>EXPIRED</v>
      </c>
    </row>
    <row r="460" spans="1:19" ht="15.75" customHeight="1">
      <c r="A460" s="75">
        <v>468</v>
      </c>
      <c r="B460" s="76" t="s">
        <v>370</v>
      </c>
      <c r="C460" s="77" t="s">
        <v>369</v>
      </c>
      <c r="D460" s="77"/>
      <c r="E460" s="78" t="s">
        <v>6</v>
      </c>
      <c r="F460" s="77" t="s">
        <v>112</v>
      </c>
      <c r="G460" s="79" t="s">
        <v>111</v>
      </c>
      <c r="H460" s="78"/>
      <c r="I460" s="78"/>
      <c r="J460" s="78" t="s">
        <v>326</v>
      </c>
      <c r="K460" s="81" t="s">
        <v>2</v>
      </c>
      <c r="L460" s="82">
        <f>IFERROR(VLOOKUP($B460,[1]Sheet2!$A:$L,11,FALSE()),"")</f>
        <v>46001</v>
      </c>
      <c r="M460" s="83">
        <v>46386</v>
      </c>
      <c r="N460" s="84">
        <v>46386</v>
      </c>
      <c r="O460" s="78"/>
      <c r="P460" s="78"/>
      <c r="Q460" s="78" t="str">
        <f>IFERROR(VLOOKUP($B460,[1]Sheet2!$A:$L,12,FALSE()),"")</f>
        <v>Dubai</v>
      </c>
      <c r="R460" s="85">
        <f t="shared" ca="1" si="14"/>
        <v>139</v>
      </c>
      <c r="S460" s="86" t="str">
        <f t="shared" ca="1" si="15"/>
        <v>✓ OK</v>
      </c>
    </row>
    <row r="461" spans="1:19" ht="15.75" customHeight="1">
      <c r="A461" s="75">
        <v>469</v>
      </c>
      <c r="B461" s="76" t="s">
        <v>368</v>
      </c>
      <c r="C461" s="77" t="s">
        <v>367</v>
      </c>
      <c r="D461" s="77"/>
      <c r="E461" s="78" t="s">
        <v>6</v>
      </c>
      <c r="F461" s="77" t="s">
        <v>112</v>
      </c>
      <c r="G461" s="79" t="s">
        <v>111</v>
      </c>
      <c r="H461" s="78"/>
      <c r="I461" s="78"/>
      <c r="J461" s="78" t="s">
        <v>326</v>
      </c>
      <c r="K461" s="81" t="s">
        <v>2</v>
      </c>
      <c r="L461" s="82">
        <f>IFERROR(VLOOKUP($B461,[1]Sheet2!$A:$L,11,FALSE()),"")</f>
        <v>46031</v>
      </c>
      <c r="M461" s="83">
        <v>46386</v>
      </c>
      <c r="N461" s="84">
        <v>46386</v>
      </c>
      <c r="O461" s="78"/>
      <c r="P461" s="78"/>
      <c r="Q461" s="78" t="str">
        <f>IFERROR(VLOOKUP($B461,[1]Sheet2!$A:$L,12,FALSE()),"")</f>
        <v>Dubai</v>
      </c>
      <c r="R461" s="85">
        <f t="shared" ca="1" si="14"/>
        <v>139</v>
      </c>
      <c r="S461" s="86" t="str">
        <f t="shared" ca="1" si="15"/>
        <v>✓ OK</v>
      </c>
    </row>
    <row r="462" spans="1:19" ht="15.75" customHeight="1">
      <c r="A462" s="75">
        <v>470</v>
      </c>
      <c r="B462" s="76" t="s">
        <v>366</v>
      </c>
      <c r="C462" s="77" t="s">
        <v>365</v>
      </c>
      <c r="D462" s="77"/>
      <c r="E462" s="78" t="s">
        <v>6</v>
      </c>
      <c r="F462" s="77" t="s">
        <v>112</v>
      </c>
      <c r="G462" s="79" t="s">
        <v>111</v>
      </c>
      <c r="H462" s="78"/>
      <c r="I462" s="78"/>
      <c r="J462" s="78" t="s">
        <v>326</v>
      </c>
      <c r="K462" s="88" t="s">
        <v>42</v>
      </c>
      <c r="L462" s="82" t="str">
        <f>IFERROR(VLOOKUP($B462,[1]Sheet2!$A:$L,11,FALSE()),"")</f>
        <v/>
      </c>
      <c r="M462" s="83">
        <v>46386</v>
      </c>
      <c r="N462" s="84">
        <v>46386</v>
      </c>
      <c r="O462" s="78"/>
      <c r="P462" s="78"/>
      <c r="Q462" s="78" t="str">
        <f>IFERROR(VLOOKUP($B462,[1]Sheet2!$A:$L,12,FALSE()),"")</f>
        <v/>
      </c>
      <c r="R462" s="85">
        <f t="shared" ca="1" si="14"/>
        <v>139</v>
      </c>
      <c r="S462" s="86" t="str">
        <f t="shared" ca="1" si="15"/>
        <v>✓ OK</v>
      </c>
    </row>
    <row r="463" spans="1:19" ht="15.75" customHeight="1">
      <c r="A463" s="75">
        <v>471</v>
      </c>
      <c r="B463" s="76" t="s">
        <v>364</v>
      </c>
      <c r="C463" s="77" t="s">
        <v>363</v>
      </c>
      <c r="D463" s="77"/>
      <c r="E463" s="78" t="s">
        <v>6</v>
      </c>
      <c r="F463" s="77" t="s">
        <v>112</v>
      </c>
      <c r="G463" s="79" t="s">
        <v>111</v>
      </c>
      <c r="H463" s="78"/>
      <c r="I463" s="78"/>
      <c r="J463" s="78" t="s">
        <v>326</v>
      </c>
      <c r="K463" s="81" t="s">
        <v>2</v>
      </c>
      <c r="L463" s="82">
        <f>IFERROR(VLOOKUP($B463,[1]Sheet2!$A:$L,11,FALSE()),"")</f>
        <v>46031</v>
      </c>
      <c r="M463" s="83">
        <v>46386</v>
      </c>
      <c r="N463" s="84">
        <v>46386</v>
      </c>
      <c r="O463" s="78"/>
      <c r="P463" s="78"/>
      <c r="Q463" s="78" t="str">
        <f>IFERROR(VLOOKUP($B463,[1]Sheet2!$A:$L,12,FALSE()),"")</f>
        <v>Dubai</v>
      </c>
      <c r="R463" s="85">
        <f t="shared" ca="1" si="14"/>
        <v>139</v>
      </c>
      <c r="S463" s="86" t="str">
        <f t="shared" ca="1" si="15"/>
        <v>✓ OK</v>
      </c>
    </row>
    <row r="464" spans="1:19" ht="15.75" customHeight="1">
      <c r="A464" s="75">
        <v>472</v>
      </c>
      <c r="B464" s="76" t="s">
        <v>362</v>
      </c>
      <c r="C464" s="77" t="s">
        <v>361</v>
      </c>
      <c r="D464" s="77"/>
      <c r="E464" s="78" t="s">
        <v>6</v>
      </c>
      <c r="F464" s="77" t="s">
        <v>112</v>
      </c>
      <c r="G464" s="79" t="s">
        <v>111</v>
      </c>
      <c r="H464" s="78"/>
      <c r="I464" s="78"/>
      <c r="J464" s="78" t="s">
        <v>326</v>
      </c>
      <c r="K464" s="81" t="s">
        <v>2</v>
      </c>
      <c r="L464" s="82" t="s">
        <v>360</v>
      </c>
      <c r="M464" s="83">
        <v>46386</v>
      </c>
      <c r="N464" s="84">
        <v>46386</v>
      </c>
      <c r="O464" s="78"/>
      <c r="P464" s="78"/>
      <c r="Q464" s="78" t="s">
        <v>57</v>
      </c>
      <c r="R464" s="85">
        <f t="shared" ca="1" si="14"/>
        <v>139</v>
      </c>
      <c r="S464" s="86" t="str">
        <f t="shared" ca="1" si="15"/>
        <v>✓ OK</v>
      </c>
    </row>
    <row r="465" spans="1:19" ht="15.75" customHeight="1">
      <c r="A465" s="75">
        <v>473</v>
      </c>
      <c r="B465" s="76" t="s">
        <v>359</v>
      </c>
      <c r="C465" s="77" t="s">
        <v>358</v>
      </c>
      <c r="D465" s="77"/>
      <c r="E465" s="78" t="s">
        <v>6</v>
      </c>
      <c r="F465" s="77" t="s">
        <v>112</v>
      </c>
      <c r="G465" s="79" t="s">
        <v>111</v>
      </c>
      <c r="H465" s="78"/>
      <c r="I465" s="78"/>
      <c r="J465" s="78" t="s">
        <v>326</v>
      </c>
      <c r="K465" s="81" t="s">
        <v>2</v>
      </c>
      <c r="L465" s="82">
        <f>IFERROR(VLOOKUP($B465,[1]Sheet2!$A:$L,11,FALSE()),"")</f>
        <v>46031</v>
      </c>
      <c r="M465" s="83">
        <v>46386</v>
      </c>
      <c r="N465" s="84">
        <v>46386</v>
      </c>
      <c r="O465" s="78"/>
      <c r="P465" s="78"/>
      <c r="Q465" s="78" t="str">
        <f>IFERROR(VLOOKUP($B465,[1]Sheet2!$A:$L,12,FALSE()),"")</f>
        <v>Dubai</v>
      </c>
      <c r="R465" s="85">
        <f t="shared" ca="1" si="14"/>
        <v>139</v>
      </c>
      <c r="S465" s="86" t="str">
        <f t="shared" ca="1" si="15"/>
        <v>✓ OK</v>
      </c>
    </row>
    <row r="466" spans="1:19" ht="15.75" customHeight="1">
      <c r="A466" s="75">
        <v>474</v>
      </c>
      <c r="B466" s="76" t="s">
        <v>357</v>
      </c>
      <c r="C466" s="77" t="s">
        <v>356</v>
      </c>
      <c r="D466" s="77"/>
      <c r="E466" s="78" t="s">
        <v>6</v>
      </c>
      <c r="F466" s="77" t="s">
        <v>112</v>
      </c>
      <c r="G466" s="79" t="s">
        <v>111</v>
      </c>
      <c r="H466" s="78"/>
      <c r="I466" s="78"/>
      <c r="J466" s="78" t="s">
        <v>326</v>
      </c>
      <c r="K466" s="81" t="s">
        <v>2</v>
      </c>
      <c r="L466" s="82">
        <f>IFERROR(VLOOKUP($B466,[1]Sheet2!$A:$L,11,FALSE()),"")</f>
        <v>46031</v>
      </c>
      <c r="M466" s="83">
        <v>46386</v>
      </c>
      <c r="N466" s="84">
        <v>46386</v>
      </c>
      <c r="O466" s="78"/>
      <c r="P466" s="78"/>
      <c r="Q466" s="78" t="str">
        <f>IFERROR(VLOOKUP($B466,[1]Sheet2!$A:$L,12,FALSE()),"")</f>
        <v>Dubai</v>
      </c>
      <c r="R466" s="85">
        <f t="shared" ca="1" si="14"/>
        <v>139</v>
      </c>
      <c r="S466" s="86" t="str">
        <f t="shared" ca="1" si="15"/>
        <v>✓ OK</v>
      </c>
    </row>
    <row r="467" spans="1:19" ht="15.75" customHeight="1">
      <c r="A467" s="75">
        <v>475</v>
      </c>
      <c r="B467" s="76" t="s">
        <v>355</v>
      </c>
      <c r="C467" s="77" t="s">
        <v>354</v>
      </c>
      <c r="D467" s="77"/>
      <c r="E467" s="78" t="s">
        <v>6</v>
      </c>
      <c r="F467" s="77" t="s">
        <v>112</v>
      </c>
      <c r="G467" s="79" t="s">
        <v>111</v>
      </c>
      <c r="H467" s="78"/>
      <c r="I467" s="78"/>
      <c r="J467" s="78" t="s">
        <v>326</v>
      </c>
      <c r="K467" s="81" t="s">
        <v>2</v>
      </c>
      <c r="L467" s="82">
        <f>IFERROR(VLOOKUP($B467,[1]Sheet2!$A:$L,11,FALSE()),"")</f>
        <v>46031</v>
      </c>
      <c r="M467" s="83">
        <v>46386</v>
      </c>
      <c r="N467" s="84">
        <v>46386</v>
      </c>
      <c r="O467" s="78"/>
      <c r="P467" s="78"/>
      <c r="Q467" s="78" t="str">
        <f>IFERROR(VLOOKUP($B467,[1]Sheet2!$A:$L,12,FALSE()),"")</f>
        <v>Dubai</v>
      </c>
      <c r="R467" s="85">
        <f t="shared" ca="1" si="14"/>
        <v>139</v>
      </c>
      <c r="S467" s="86" t="str">
        <f t="shared" ca="1" si="15"/>
        <v>✓ OK</v>
      </c>
    </row>
    <row r="468" spans="1:19" ht="15.75" customHeight="1">
      <c r="A468" s="75">
        <v>476</v>
      </c>
      <c r="B468" s="76" t="s">
        <v>353</v>
      </c>
      <c r="C468" s="77" t="s">
        <v>352</v>
      </c>
      <c r="D468" s="77"/>
      <c r="E468" s="78" t="s">
        <v>6</v>
      </c>
      <c r="F468" s="77" t="s">
        <v>112</v>
      </c>
      <c r="G468" s="79" t="s">
        <v>111</v>
      </c>
      <c r="H468" s="78"/>
      <c r="I468" s="78"/>
      <c r="J468" s="78" t="s">
        <v>326</v>
      </c>
      <c r="K468" s="81" t="s">
        <v>2</v>
      </c>
      <c r="L468" s="82">
        <f>IFERROR(VLOOKUP($B468,[1]Sheet2!$A:$L,11,FALSE()),"")</f>
        <v>46031</v>
      </c>
      <c r="M468" s="83">
        <v>46386</v>
      </c>
      <c r="N468" s="84">
        <v>46386</v>
      </c>
      <c r="O468" s="78"/>
      <c r="P468" s="78"/>
      <c r="Q468" s="78" t="str">
        <f>IFERROR(VLOOKUP($B468,[1]Sheet2!$A:$L,12,FALSE()),"")</f>
        <v>Dubai</v>
      </c>
      <c r="R468" s="85">
        <f t="shared" ca="1" si="14"/>
        <v>139</v>
      </c>
      <c r="S468" s="86" t="str">
        <f t="shared" ca="1" si="15"/>
        <v>✓ OK</v>
      </c>
    </row>
    <row r="469" spans="1:19" ht="15.75" customHeight="1">
      <c r="A469" s="75">
        <v>477</v>
      </c>
      <c r="B469" s="76" t="s">
        <v>351</v>
      </c>
      <c r="C469" s="77" t="s">
        <v>350</v>
      </c>
      <c r="D469" s="77"/>
      <c r="E469" s="78" t="s">
        <v>6</v>
      </c>
      <c r="F469" s="77" t="s">
        <v>112</v>
      </c>
      <c r="G469" s="79" t="s">
        <v>111</v>
      </c>
      <c r="H469" s="78"/>
      <c r="I469" s="78"/>
      <c r="J469" s="78" t="s">
        <v>326</v>
      </c>
      <c r="K469" s="81" t="s">
        <v>2</v>
      </c>
      <c r="L469" s="82">
        <f>IFERROR(VLOOKUP($B469,[1]Sheet2!$A:$L,11,FALSE()),"")</f>
        <v>46031</v>
      </c>
      <c r="M469" s="83">
        <v>46386</v>
      </c>
      <c r="N469" s="84">
        <v>46386</v>
      </c>
      <c r="O469" s="78"/>
      <c r="P469" s="78"/>
      <c r="Q469" s="78" t="str">
        <f>IFERROR(VLOOKUP($B469,[1]Sheet2!$A:$L,12,FALSE()),"")</f>
        <v>Dubai</v>
      </c>
      <c r="R469" s="85">
        <f t="shared" ca="1" si="14"/>
        <v>139</v>
      </c>
      <c r="S469" s="86" t="str">
        <f t="shared" ca="1" si="15"/>
        <v>✓ OK</v>
      </c>
    </row>
    <row r="470" spans="1:19" ht="15.75" customHeight="1">
      <c r="A470" s="75">
        <v>478</v>
      </c>
      <c r="B470" s="76" t="s">
        <v>349</v>
      </c>
      <c r="C470" s="77" t="s">
        <v>348</v>
      </c>
      <c r="D470" s="77"/>
      <c r="E470" s="78" t="s">
        <v>6</v>
      </c>
      <c r="F470" s="77" t="s">
        <v>112</v>
      </c>
      <c r="G470" s="79" t="s">
        <v>111</v>
      </c>
      <c r="H470" s="78"/>
      <c r="I470" s="78"/>
      <c r="J470" s="78" t="s">
        <v>326</v>
      </c>
      <c r="K470" s="81" t="s">
        <v>2</v>
      </c>
      <c r="L470" s="82">
        <f>IFERROR(VLOOKUP($B470,[1]Sheet2!$A:$L,11,FALSE()),"")</f>
        <v>46031</v>
      </c>
      <c r="M470" s="83">
        <v>46386</v>
      </c>
      <c r="N470" s="84">
        <v>46386</v>
      </c>
      <c r="O470" s="78"/>
      <c r="P470" s="78"/>
      <c r="Q470" s="78" t="str">
        <f>IFERROR(VLOOKUP($B470,[1]Sheet2!$A:$L,12,FALSE()),"")</f>
        <v>Dubai</v>
      </c>
      <c r="R470" s="85">
        <f t="shared" ca="1" si="14"/>
        <v>139</v>
      </c>
      <c r="S470" s="86" t="str">
        <f t="shared" ca="1" si="15"/>
        <v>✓ OK</v>
      </c>
    </row>
    <row r="471" spans="1:19" ht="15.75" customHeight="1">
      <c r="A471" s="75">
        <v>479</v>
      </c>
      <c r="B471" s="76" t="s">
        <v>347</v>
      </c>
      <c r="C471" s="77" t="s">
        <v>346</v>
      </c>
      <c r="D471" s="77"/>
      <c r="E471" s="78" t="s">
        <v>6</v>
      </c>
      <c r="F471" s="77" t="s">
        <v>112</v>
      </c>
      <c r="G471" s="79" t="s">
        <v>111</v>
      </c>
      <c r="H471" s="78"/>
      <c r="I471" s="78"/>
      <c r="J471" s="78" t="s">
        <v>326</v>
      </c>
      <c r="K471" s="81" t="s">
        <v>2</v>
      </c>
      <c r="L471" s="82">
        <f>IFERROR(VLOOKUP($B471,[1]Sheet2!$A:$L,11,FALSE()),"")</f>
        <v>46031</v>
      </c>
      <c r="M471" s="83">
        <v>46386</v>
      </c>
      <c r="N471" s="84">
        <v>46386</v>
      </c>
      <c r="O471" s="78"/>
      <c r="P471" s="78"/>
      <c r="Q471" s="78" t="str">
        <f>IFERROR(VLOOKUP($B471,[1]Sheet2!$A:$L,12,FALSE()),"")</f>
        <v>Dubai</v>
      </c>
      <c r="R471" s="85">
        <f t="shared" ca="1" si="14"/>
        <v>139</v>
      </c>
      <c r="S471" s="86" t="str">
        <f t="shared" ca="1" si="15"/>
        <v>✓ OK</v>
      </c>
    </row>
    <row r="472" spans="1:19" ht="15.75" customHeight="1">
      <c r="A472" s="75">
        <v>480</v>
      </c>
      <c r="B472" s="76" t="s">
        <v>345</v>
      </c>
      <c r="C472" s="77" t="s">
        <v>344</v>
      </c>
      <c r="D472" s="77"/>
      <c r="E472" s="78" t="s">
        <v>6</v>
      </c>
      <c r="F472" s="77" t="s">
        <v>112</v>
      </c>
      <c r="G472" s="79" t="s">
        <v>111</v>
      </c>
      <c r="H472" s="78"/>
      <c r="I472" s="78"/>
      <c r="J472" s="78" t="s">
        <v>326</v>
      </c>
      <c r="K472" s="81" t="s">
        <v>2</v>
      </c>
      <c r="L472" s="82">
        <f>IFERROR(VLOOKUP($B472,[1]Sheet2!$A:$L,11,FALSE()),"")</f>
        <v>46031</v>
      </c>
      <c r="M472" s="83">
        <v>46386</v>
      </c>
      <c r="N472" s="84">
        <v>46386</v>
      </c>
      <c r="O472" s="78"/>
      <c r="P472" s="78"/>
      <c r="Q472" s="78" t="str">
        <f>IFERROR(VLOOKUP($B472,[1]Sheet2!$A:$L,12,FALSE()),"")</f>
        <v>Dubai</v>
      </c>
      <c r="R472" s="85">
        <f t="shared" ca="1" si="14"/>
        <v>139</v>
      </c>
      <c r="S472" s="86" t="str">
        <f t="shared" ca="1" si="15"/>
        <v>✓ OK</v>
      </c>
    </row>
    <row r="473" spans="1:19" ht="15.75" customHeight="1">
      <c r="A473" s="75">
        <v>481</v>
      </c>
      <c r="B473" s="76" t="s">
        <v>343</v>
      </c>
      <c r="C473" s="77" t="s">
        <v>342</v>
      </c>
      <c r="D473" s="77"/>
      <c r="E473" s="78" t="s">
        <v>6</v>
      </c>
      <c r="F473" s="77" t="s">
        <v>112</v>
      </c>
      <c r="G473" s="79" t="s">
        <v>111</v>
      </c>
      <c r="H473" s="78"/>
      <c r="I473" s="78"/>
      <c r="J473" s="78" t="s">
        <v>326</v>
      </c>
      <c r="K473" s="81" t="s">
        <v>2</v>
      </c>
      <c r="L473" s="82">
        <f>IFERROR(VLOOKUP($B473,[1]Sheet2!$A:$L,11,FALSE()),"")</f>
        <v>46031</v>
      </c>
      <c r="M473" s="83">
        <v>46386</v>
      </c>
      <c r="N473" s="84">
        <v>46386</v>
      </c>
      <c r="O473" s="78"/>
      <c r="P473" s="78"/>
      <c r="Q473" s="78" t="str">
        <f>IFERROR(VLOOKUP($B473,[1]Sheet2!$A:$L,12,FALSE()),"")</f>
        <v>Dubai</v>
      </c>
      <c r="R473" s="85">
        <f t="shared" ca="1" si="14"/>
        <v>139</v>
      </c>
      <c r="S473" s="86" t="str">
        <f t="shared" ca="1" si="15"/>
        <v>✓ OK</v>
      </c>
    </row>
    <row r="474" spans="1:19" ht="15.75" customHeight="1">
      <c r="A474" s="75">
        <v>482</v>
      </c>
      <c r="B474" s="76" t="s">
        <v>341</v>
      </c>
      <c r="C474" s="77" t="s">
        <v>340</v>
      </c>
      <c r="D474" s="77"/>
      <c r="E474" s="78" t="s">
        <v>6</v>
      </c>
      <c r="F474" s="77" t="s">
        <v>112</v>
      </c>
      <c r="G474" s="79" t="s">
        <v>111</v>
      </c>
      <c r="H474" s="78"/>
      <c r="I474" s="78"/>
      <c r="J474" s="78" t="s">
        <v>326</v>
      </c>
      <c r="K474" s="81" t="s">
        <v>2</v>
      </c>
      <c r="L474" s="82">
        <f>IFERROR(VLOOKUP($B474,[1]Sheet2!$A:$L,11,FALSE()),"")</f>
        <v>46031</v>
      </c>
      <c r="M474" s="83">
        <v>46386</v>
      </c>
      <c r="N474" s="84">
        <v>46386</v>
      </c>
      <c r="O474" s="78"/>
      <c r="P474" s="78"/>
      <c r="Q474" s="78" t="str">
        <f>IFERROR(VLOOKUP($B474,[1]Sheet2!$A:$L,12,FALSE()),"")</f>
        <v>Dubai</v>
      </c>
      <c r="R474" s="85">
        <f t="shared" ca="1" si="14"/>
        <v>139</v>
      </c>
      <c r="S474" s="86" t="str">
        <f t="shared" ca="1" si="15"/>
        <v>✓ OK</v>
      </c>
    </row>
    <row r="475" spans="1:19" ht="15.75" customHeight="1">
      <c r="A475" s="75">
        <v>483</v>
      </c>
      <c r="B475" s="76" t="s">
        <v>339</v>
      </c>
      <c r="C475" s="77" t="s">
        <v>338</v>
      </c>
      <c r="D475" s="77"/>
      <c r="E475" s="78" t="s">
        <v>6</v>
      </c>
      <c r="F475" s="77" t="s">
        <v>112</v>
      </c>
      <c r="G475" s="79" t="s">
        <v>111</v>
      </c>
      <c r="H475" s="78"/>
      <c r="I475" s="78"/>
      <c r="J475" s="78" t="s">
        <v>326</v>
      </c>
      <c r="K475" s="81" t="s">
        <v>2</v>
      </c>
      <c r="L475" s="82">
        <f>IFERROR(VLOOKUP($B475,[1]Sheet2!$A:$L,11,FALSE()),"")</f>
        <v>46031</v>
      </c>
      <c r="M475" s="83">
        <v>46386</v>
      </c>
      <c r="N475" s="84">
        <v>46386</v>
      </c>
      <c r="O475" s="78"/>
      <c r="P475" s="78"/>
      <c r="Q475" s="78" t="str">
        <f>IFERROR(VLOOKUP($B475,[1]Sheet2!$A:$L,12,FALSE()),"")</f>
        <v>Dubai</v>
      </c>
      <c r="R475" s="85">
        <f t="shared" ca="1" si="14"/>
        <v>139</v>
      </c>
      <c r="S475" s="86" t="str">
        <f t="shared" ca="1" si="15"/>
        <v>✓ OK</v>
      </c>
    </row>
    <row r="476" spans="1:19" ht="15.75" customHeight="1">
      <c r="A476" s="75">
        <v>484</v>
      </c>
      <c r="B476" s="76" t="s">
        <v>337</v>
      </c>
      <c r="C476" s="77" t="s">
        <v>336</v>
      </c>
      <c r="D476" s="77"/>
      <c r="E476" s="78" t="s">
        <v>6</v>
      </c>
      <c r="F476" s="77" t="s">
        <v>112</v>
      </c>
      <c r="G476" s="79" t="s">
        <v>111</v>
      </c>
      <c r="H476" s="78"/>
      <c r="I476" s="78"/>
      <c r="J476" s="78" t="s">
        <v>326</v>
      </c>
      <c r="K476" s="81" t="s">
        <v>2</v>
      </c>
      <c r="L476" s="82">
        <f>IFERROR(VLOOKUP($B476,[1]Sheet2!$A:$L,11,FALSE()),"")</f>
        <v>46031</v>
      </c>
      <c r="M476" s="83">
        <v>46386</v>
      </c>
      <c r="N476" s="84">
        <v>46386</v>
      </c>
      <c r="O476" s="78"/>
      <c r="P476" s="78"/>
      <c r="Q476" s="78" t="str">
        <f>IFERROR(VLOOKUP($B476,[1]Sheet2!$A:$L,12,FALSE()),"")</f>
        <v>Dubai</v>
      </c>
      <c r="R476" s="85">
        <f t="shared" ca="1" si="14"/>
        <v>139</v>
      </c>
      <c r="S476" s="86" t="str">
        <f t="shared" ca="1" si="15"/>
        <v>✓ OK</v>
      </c>
    </row>
    <row r="477" spans="1:19" ht="15.75" customHeight="1">
      <c r="A477" s="75">
        <v>485</v>
      </c>
      <c r="B477" s="76" t="s">
        <v>335</v>
      </c>
      <c r="C477" s="77" t="s">
        <v>334</v>
      </c>
      <c r="D477" s="77"/>
      <c r="E477" s="78" t="s">
        <v>6</v>
      </c>
      <c r="F477" s="77" t="s">
        <v>112</v>
      </c>
      <c r="G477" s="79" t="s">
        <v>111</v>
      </c>
      <c r="H477" s="78"/>
      <c r="I477" s="78"/>
      <c r="J477" s="78" t="s">
        <v>326</v>
      </c>
      <c r="K477" s="81" t="s">
        <v>2</v>
      </c>
      <c r="L477" s="82">
        <f>IFERROR(VLOOKUP($B477,[1]Sheet2!$A:$L,11,FALSE()),"")</f>
        <v>46031</v>
      </c>
      <c r="M477" s="83">
        <v>46386</v>
      </c>
      <c r="N477" s="84">
        <v>46386</v>
      </c>
      <c r="O477" s="78"/>
      <c r="P477" s="78"/>
      <c r="Q477" s="78" t="str">
        <f>IFERROR(VLOOKUP($B477,[1]Sheet2!$A:$L,12,FALSE()),"")</f>
        <v>Dubai</v>
      </c>
      <c r="R477" s="85">
        <f t="shared" ca="1" si="14"/>
        <v>139</v>
      </c>
      <c r="S477" s="86" t="str">
        <f t="shared" ca="1" si="15"/>
        <v>✓ OK</v>
      </c>
    </row>
    <row r="478" spans="1:19" ht="15.75" customHeight="1">
      <c r="A478" s="75">
        <v>486</v>
      </c>
      <c r="B478" s="76" t="s">
        <v>333</v>
      </c>
      <c r="C478" s="77" t="s">
        <v>332</v>
      </c>
      <c r="D478" s="77"/>
      <c r="E478" s="78" t="s">
        <v>6</v>
      </c>
      <c r="F478" s="77" t="s">
        <v>112</v>
      </c>
      <c r="G478" s="79" t="s">
        <v>111</v>
      </c>
      <c r="H478" s="78"/>
      <c r="I478" s="78"/>
      <c r="J478" s="78" t="s">
        <v>326</v>
      </c>
      <c r="K478" s="81" t="s">
        <v>2</v>
      </c>
      <c r="L478" s="82">
        <f>IFERROR(VLOOKUP($B478,[1]Sheet2!$A:$L,11,FALSE()),"")</f>
        <v>46030</v>
      </c>
      <c r="M478" s="83">
        <v>46386</v>
      </c>
      <c r="N478" s="84">
        <v>46386</v>
      </c>
      <c r="O478" s="78"/>
      <c r="P478" s="78"/>
      <c r="Q478" s="78" t="str">
        <f>IFERROR(VLOOKUP($B478,[1]Sheet2!$A:$L,12,FALSE()),"")</f>
        <v>Dubai</v>
      </c>
      <c r="R478" s="85">
        <f t="shared" ca="1" si="14"/>
        <v>139</v>
      </c>
      <c r="S478" s="86" t="str">
        <f t="shared" ca="1" si="15"/>
        <v>✓ OK</v>
      </c>
    </row>
    <row r="479" spans="1:19" ht="15.75" customHeight="1">
      <c r="A479" s="75">
        <v>487</v>
      </c>
      <c r="B479" s="76" t="s">
        <v>331</v>
      </c>
      <c r="C479" s="77" t="s">
        <v>330</v>
      </c>
      <c r="D479" s="77" t="s">
        <v>327</v>
      </c>
      <c r="E479" s="78" t="s">
        <v>6</v>
      </c>
      <c r="F479" s="77" t="s">
        <v>112</v>
      </c>
      <c r="G479" s="79" t="s">
        <v>111</v>
      </c>
      <c r="H479" s="78"/>
      <c r="I479" s="78"/>
      <c r="J479" s="78" t="s">
        <v>326</v>
      </c>
      <c r="K479" s="101" t="s">
        <v>2</v>
      </c>
      <c r="L479" s="82">
        <f>IFERROR(VLOOKUP($B479,[1]Sheet2!$A:$L,11,FALSE()),"")</f>
        <v>46032</v>
      </c>
      <c r="M479" s="83">
        <v>46386</v>
      </c>
      <c r="N479" s="84">
        <v>46386</v>
      </c>
      <c r="O479" s="94"/>
      <c r="P479" s="78"/>
      <c r="Q479" s="78" t="str">
        <f>IFERROR(VLOOKUP($B479,[1]Sheet2!$A:$L,12,FALSE()),"")</f>
        <v>Dubai</v>
      </c>
      <c r="R479" s="85">
        <f t="shared" ca="1" si="14"/>
        <v>139</v>
      </c>
      <c r="S479" s="86" t="str">
        <f t="shared" ca="1" si="15"/>
        <v>✓ OK</v>
      </c>
    </row>
    <row r="480" spans="1:19" ht="15.75" customHeight="1">
      <c r="A480" s="75">
        <v>488</v>
      </c>
      <c r="B480" s="76" t="s">
        <v>329</v>
      </c>
      <c r="C480" s="77" t="s">
        <v>328</v>
      </c>
      <c r="D480" s="77" t="s">
        <v>327</v>
      </c>
      <c r="E480" s="78" t="s">
        <v>6</v>
      </c>
      <c r="F480" s="77" t="s">
        <v>112</v>
      </c>
      <c r="G480" s="79" t="s">
        <v>111</v>
      </c>
      <c r="H480" s="78"/>
      <c r="I480" s="78"/>
      <c r="J480" s="78" t="s">
        <v>326</v>
      </c>
      <c r="K480" s="101" t="s">
        <v>2</v>
      </c>
      <c r="L480" s="82">
        <f>IFERROR(VLOOKUP($B480,[1]Sheet2!$A:$L,11,FALSE()),"")</f>
        <v>46032</v>
      </c>
      <c r="M480" s="83">
        <v>46386</v>
      </c>
      <c r="N480" s="84">
        <v>46386</v>
      </c>
      <c r="O480" s="78"/>
      <c r="P480" s="78"/>
      <c r="Q480" s="78" t="str">
        <f>IFERROR(VLOOKUP($B480,[1]Sheet2!$A:$L,12,FALSE()),"")</f>
        <v>Dubai</v>
      </c>
      <c r="R480" s="85">
        <f t="shared" ca="1" si="14"/>
        <v>139</v>
      </c>
      <c r="S480" s="86" t="str">
        <f t="shared" ca="1" si="15"/>
        <v>✓ OK</v>
      </c>
    </row>
    <row r="481" spans="1:19" ht="15.75" customHeight="1">
      <c r="A481" s="75">
        <v>489</v>
      </c>
      <c r="B481" s="76" t="s">
        <v>325</v>
      </c>
      <c r="C481" s="77" t="s">
        <v>324</v>
      </c>
      <c r="D481" s="77" t="s">
        <v>323</v>
      </c>
      <c r="E481" s="78" t="s">
        <v>6</v>
      </c>
      <c r="F481" s="77" t="s">
        <v>272</v>
      </c>
      <c r="G481" s="79" t="s">
        <v>291</v>
      </c>
      <c r="H481" s="99" t="s">
        <v>322</v>
      </c>
      <c r="I481" s="78" t="s">
        <v>321</v>
      </c>
      <c r="J481" s="78" t="s">
        <v>320</v>
      </c>
      <c r="K481" s="81" t="s">
        <v>319</v>
      </c>
      <c r="L481" s="82">
        <f>IFERROR(VLOOKUP($B481,[1]Sheet2!$A:$L,11,FALSE()),"")</f>
        <v>45996</v>
      </c>
      <c r="M481" s="91">
        <v>46386</v>
      </c>
      <c r="N481" s="84">
        <v>46386</v>
      </c>
      <c r="O481" s="78" t="s">
        <v>88</v>
      </c>
      <c r="P481" s="78"/>
      <c r="Q481" s="78" t="str">
        <f>IFERROR(VLOOKUP($B481,[1]Sheet2!$A:$L,12,FALSE()),"")</f>
        <v>Dubai</v>
      </c>
      <c r="R481" s="85">
        <f t="shared" ca="1" si="14"/>
        <v>139</v>
      </c>
      <c r="S481" s="86" t="str">
        <f t="shared" ca="1" si="15"/>
        <v>✓ OK</v>
      </c>
    </row>
    <row r="482" spans="1:19" ht="15.75" customHeight="1">
      <c r="A482" s="75">
        <v>490</v>
      </c>
      <c r="B482" s="76" t="s">
        <v>318</v>
      </c>
      <c r="C482" s="77" t="s">
        <v>317</v>
      </c>
      <c r="D482" s="77" t="s">
        <v>317</v>
      </c>
      <c r="E482" s="78" t="s">
        <v>6</v>
      </c>
      <c r="F482" s="77" t="s">
        <v>272</v>
      </c>
      <c r="G482" s="79" t="s">
        <v>291</v>
      </c>
      <c r="H482" s="78"/>
      <c r="I482" s="78"/>
      <c r="J482" s="78" t="s">
        <v>316</v>
      </c>
      <c r="K482" s="81" t="s">
        <v>2</v>
      </c>
      <c r="L482" s="82">
        <f>IFERROR(VLOOKUP($B482,[1]Sheet2!$A:$L,11,FALSE()),"")</f>
        <v>45994</v>
      </c>
      <c r="M482" s="91">
        <v>46386</v>
      </c>
      <c r="N482" s="84">
        <v>46386</v>
      </c>
      <c r="O482" s="78" t="s">
        <v>1</v>
      </c>
      <c r="P482" s="78"/>
      <c r="Q482" s="78" t="str">
        <f>IFERROR(VLOOKUP($B482,[1]Sheet2!$A:$L,12,FALSE()),"")</f>
        <v>Dubai</v>
      </c>
      <c r="R482" s="85">
        <f t="shared" ca="1" si="14"/>
        <v>139</v>
      </c>
      <c r="S482" s="86" t="str">
        <f t="shared" ca="1" si="15"/>
        <v>✓ OK</v>
      </c>
    </row>
    <row r="483" spans="1:19" ht="15.75" customHeight="1">
      <c r="A483" s="75">
        <v>491</v>
      </c>
      <c r="B483" s="76" t="s">
        <v>315</v>
      </c>
      <c r="C483" s="77" t="s">
        <v>314</v>
      </c>
      <c r="D483" s="77" t="s">
        <v>314</v>
      </c>
      <c r="E483" s="78" t="s">
        <v>6</v>
      </c>
      <c r="F483" s="77" t="s">
        <v>272</v>
      </c>
      <c r="G483" s="79" t="s">
        <v>291</v>
      </c>
      <c r="H483" s="78"/>
      <c r="I483" s="78"/>
      <c r="J483" s="78" t="s">
        <v>313</v>
      </c>
      <c r="K483" s="81" t="s">
        <v>2</v>
      </c>
      <c r="L483" s="82">
        <f>IFERROR(VLOOKUP($B483,[1]Sheet2!$A:$L,11,FALSE()),"")</f>
        <v>45995</v>
      </c>
      <c r="M483" s="91">
        <v>46386</v>
      </c>
      <c r="N483" s="84">
        <v>46386</v>
      </c>
      <c r="O483" s="78" t="s">
        <v>1</v>
      </c>
      <c r="P483" s="78"/>
      <c r="Q483" s="78" t="str">
        <f>IFERROR(VLOOKUP($B483,[1]Sheet2!$A:$L,12,FALSE()),"")</f>
        <v>Dubai</v>
      </c>
      <c r="R483" s="85">
        <f t="shared" ca="1" si="14"/>
        <v>139</v>
      </c>
      <c r="S483" s="86" t="str">
        <f t="shared" ca="1" si="15"/>
        <v>✓ OK</v>
      </c>
    </row>
    <row r="484" spans="1:19" ht="15.75" customHeight="1">
      <c r="A484" s="75">
        <v>492</v>
      </c>
      <c r="B484" s="76" t="s">
        <v>312</v>
      </c>
      <c r="C484" s="77" t="s">
        <v>311</v>
      </c>
      <c r="D484" s="77" t="s">
        <v>311</v>
      </c>
      <c r="E484" s="78" t="s">
        <v>6</v>
      </c>
      <c r="F484" s="77" t="s">
        <v>272</v>
      </c>
      <c r="G484" s="79" t="s">
        <v>291</v>
      </c>
      <c r="H484" s="99" t="s">
        <v>310</v>
      </c>
      <c r="I484" s="78">
        <v>55815970</v>
      </c>
      <c r="J484" s="78" t="s">
        <v>309</v>
      </c>
      <c r="K484" s="81" t="s">
        <v>2</v>
      </c>
      <c r="L484" s="82">
        <f>IFERROR(VLOOKUP($B484,[1]Sheet2!$A:$L,11,FALSE()),"")</f>
        <v>45994</v>
      </c>
      <c r="M484" s="91">
        <v>46386</v>
      </c>
      <c r="N484" s="84">
        <v>46386</v>
      </c>
      <c r="O484" s="78" t="s">
        <v>1</v>
      </c>
      <c r="P484" s="78"/>
      <c r="Q484" s="78" t="str">
        <f>IFERROR(VLOOKUP($B484,[1]Sheet2!$A:$L,12,FALSE()),"")</f>
        <v>Dubai</v>
      </c>
      <c r="R484" s="85">
        <f t="shared" ca="1" si="14"/>
        <v>139</v>
      </c>
      <c r="S484" s="86" t="str">
        <f t="shared" ca="1" si="15"/>
        <v>✓ OK</v>
      </c>
    </row>
    <row r="485" spans="1:19" ht="15.75" customHeight="1">
      <c r="A485" s="75">
        <v>493</v>
      </c>
      <c r="B485" s="76" t="s">
        <v>308</v>
      </c>
      <c r="C485" s="77" t="s">
        <v>307</v>
      </c>
      <c r="D485" s="77"/>
      <c r="E485" s="78" t="s">
        <v>6</v>
      </c>
      <c r="F485" s="77" t="s">
        <v>272</v>
      </c>
      <c r="G485" s="79" t="s">
        <v>291</v>
      </c>
      <c r="H485" s="78"/>
      <c r="I485" s="78"/>
      <c r="J485" s="78" t="s">
        <v>306</v>
      </c>
      <c r="K485" s="88" t="s">
        <v>42</v>
      </c>
      <c r="L485" s="82" t="str">
        <f>IFERROR(VLOOKUP($B485,[1]Sheet2!$A:$L,11,FALSE()),"")</f>
        <v/>
      </c>
      <c r="M485" s="83">
        <v>45915</v>
      </c>
      <c r="N485" s="78" t="s">
        <v>133</v>
      </c>
      <c r="O485" s="78" t="s">
        <v>88</v>
      </c>
      <c r="P485" s="78"/>
      <c r="Q485" s="78" t="str">
        <f>IFERROR(VLOOKUP($B485,[1]Sheet2!$A:$L,12,FALSE()),"")</f>
        <v/>
      </c>
      <c r="R485" s="85">
        <f t="shared" ca="1" si="14"/>
        <v>-332</v>
      </c>
      <c r="S485" s="86" t="str">
        <f t="shared" ca="1" si="15"/>
        <v>EXPIRED</v>
      </c>
    </row>
    <row r="486" spans="1:19" ht="15.75" customHeight="1">
      <c r="A486" s="75">
        <v>494</v>
      </c>
      <c r="B486" s="76" t="s">
        <v>305</v>
      </c>
      <c r="C486" s="77" t="s">
        <v>304</v>
      </c>
      <c r="D486" s="77"/>
      <c r="E486" s="78" t="s">
        <v>6</v>
      </c>
      <c r="F486" s="77" t="s">
        <v>272</v>
      </c>
      <c r="G486" s="79" t="s">
        <v>291</v>
      </c>
      <c r="H486" s="78"/>
      <c r="I486" s="78"/>
      <c r="J486" s="78" t="s">
        <v>303</v>
      </c>
      <c r="K486" s="88" t="s">
        <v>42</v>
      </c>
      <c r="L486" s="82" t="str">
        <f>IFERROR(VLOOKUP($B486,[1]Sheet2!$A:$L,11,FALSE()),"")</f>
        <v/>
      </c>
      <c r="M486" s="83">
        <v>45915</v>
      </c>
      <c r="N486" s="78" t="s">
        <v>133</v>
      </c>
      <c r="O486" s="78" t="s">
        <v>181</v>
      </c>
      <c r="P486" s="78"/>
      <c r="Q486" s="78" t="str">
        <f>IFERROR(VLOOKUP($B486,[1]Sheet2!$A:$L,12,FALSE()),"")</f>
        <v/>
      </c>
      <c r="R486" s="85">
        <f t="shared" ca="1" si="14"/>
        <v>-332</v>
      </c>
      <c r="S486" s="86" t="str">
        <f t="shared" ca="1" si="15"/>
        <v>EXPIRED</v>
      </c>
    </row>
    <row r="487" spans="1:19" ht="15.75" customHeight="1">
      <c r="A487" s="75">
        <v>495</v>
      </c>
      <c r="B487" s="76" t="s">
        <v>302</v>
      </c>
      <c r="C487" s="77" t="s">
        <v>301</v>
      </c>
      <c r="D487" s="77"/>
      <c r="E487" s="78" t="s">
        <v>6</v>
      </c>
      <c r="F487" s="77" t="s">
        <v>272</v>
      </c>
      <c r="G487" s="79" t="s">
        <v>291</v>
      </c>
      <c r="H487" s="78"/>
      <c r="I487" s="78"/>
      <c r="J487" s="78" t="s">
        <v>300</v>
      </c>
      <c r="K487" s="88" t="s">
        <v>42</v>
      </c>
      <c r="L487" s="82" t="str">
        <f>IFERROR(VLOOKUP($B487,[1]Sheet2!$A:$L,11,FALSE()),"")</f>
        <v/>
      </c>
      <c r="M487" s="83">
        <v>45915</v>
      </c>
      <c r="N487" s="78" t="s">
        <v>133</v>
      </c>
      <c r="O487" s="78" t="s">
        <v>181</v>
      </c>
      <c r="P487" s="78"/>
      <c r="Q487" s="78" t="str">
        <f>IFERROR(VLOOKUP($B487,[1]Sheet2!$A:$L,12,FALSE()),"")</f>
        <v/>
      </c>
      <c r="R487" s="85">
        <f t="shared" ca="1" si="14"/>
        <v>-332</v>
      </c>
      <c r="S487" s="86" t="str">
        <f t="shared" ca="1" si="15"/>
        <v>EXPIRED</v>
      </c>
    </row>
    <row r="488" spans="1:19" ht="15.75" customHeight="1">
      <c r="A488" s="75">
        <v>497</v>
      </c>
      <c r="B488" s="76" t="s">
        <v>299</v>
      </c>
      <c r="C488" s="77" t="s">
        <v>298</v>
      </c>
      <c r="D488" s="77"/>
      <c r="E488" s="78" t="s">
        <v>6</v>
      </c>
      <c r="F488" s="77" t="s">
        <v>272</v>
      </c>
      <c r="G488" s="79" t="s">
        <v>291</v>
      </c>
      <c r="H488" s="78"/>
      <c r="I488" s="78"/>
      <c r="J488" s="78" t="s">
        <v>297</v>
      </c>
      <c r="K488" s="88" t="s">
        <v>42</v>
      </c>
      <c r="L488" s="82" t="str">
        <f>IFERROR(VLOOKUP($B488,[1]Sheet2!$A:$L,11,FALSE()),"")</f>
        <v/>
      </c>
      <c r="M488" s="83">
        <v>45915</v>
      </c>
      <c r="N488" s="78" t="s">
        <v>133</v>
      </c>
      <c r="O488" s="78" t="s">
        <v>181</v>
      </c>
      <c r="P488" s="78"/>
      <c r="Q488" s="78" t="str">
        <f>IFERROR(VLOOKUP($B488,[1]Sheet2!$A:$L,12,FALSE()),"")</f>
        <v/>
      </c>
      <c r="R488" s="85">
        <f t="shared" ca="1" si="14"/>
        <v>-332</v>
      </c>
      <c r="S488" s="86" t="str">
        <f t="shared" ca="1" si="15"/>
        <v>EXPIRED</v>
      </c>
    </row>
    <row r="489" spans="1:19" ht="15.75" customHeight="1">
      <c r="A489" s="75">
        <v>498</v>
      </c>
      <c r="B489" s="76" t="s">
        <v>296</v>
      </c>
      <c r="C489" s="77" t="s">
        <v>295</v>
      </c>
      <c r="D489" s="77"/>
      <c r="E489" s="78" t="s">
        <v>6</v>
      </c>
      <c r="F489" s="77" t="s">
        <v>272</v>
      </c>
      <c r="G489" s="79" t="s">
        <v>291</v>
      </c>
      <c r="H489" s="78"/>
      <c r="I489" s="78"/>
      <c r="J489" s="78" t="s">
        <v>294</v>
      </c>
      <c r="K489" s="88" t="s">
        <v>42</v>
      </c>
      <c r="L489" s="82" t="str">
        <f>IFERROR(VLOOKUP($B489,[1]Sheet2!$A:$L,11,FALSE()),"")</f>
        <v/>
      </c>
      <c r="M489" s="83">
        <v>45915</v>
      </c>
      <c r="N489" s="78" t="s">
        <v>133</v>
      </c>
      <c r="O489" s="78" t="s">
        <v>181</v>
      </c>
      <c r="P489" s="78"/>
      <c r="Q489" s="78" t="str">
        <f>IFERROR(VLOOKUP($B489,[1]Sheet2!$A:$L,12,FALSE()),"")</f>
        <v/>
      </c>
      <c r="R489" s="85">
        <f t="shared" ca="1" si="14"/>
        <v>-332</v>
      </c>
      <c r="S489" s="86" t="str">
        <f t="shared" ca="1" si="15"/>
        <v>EXPIRED</v>
      </c>
    </row>
    <row r="490" spans="1:19" ht="15.75" customHeight="1">
      <c r="A490" s="75">
        <v>499</v>
      </c>
      <c r="B490" s="76" t="s">
        <v>293</v>
      </c>
      <c r="C490" s="77" t="s">
        <v>292</v>
      </c>
      <c r="D490" s="77"/>
      <c r="E490" s="78" t="s">
        <v>6</v>
      </c>
      <c r="F490" s="77" t="s">
        <v>272</v>
      </c>
      <c r="G490" s="79" t="s">
        <v>291</v>
      </c>
      <c r="H490" s="78"/>
      <c r="I490" s="78"/>
      <c r="J490" s="78" t="s">
        <v>290</v>
      </c>
      <c r="K490" s="88" t="s">
        <v>42</v>
      </c>
      <c r="L490" s="82" t="str">
        <f>IFERROR(VLOOKUP($B490,[1]Sheet2!$A:$L,11,FALSE()),"")</f>
        <v/>
      </c>
      <c r="M490" s="83">
        <v>45643</v>
      </c>
      <c r="N490" s="78" t="s">
        <v>133</v>
      </c>
      <c r="O490" s="78" t="s">
        <v>181</v>
      </c>
      <c r="P490" s="78"/>
      <c r="Q490" s="78" t="str">
        <f>IFERROR(VLOOKUP($B490,[1]Sheet2!$A:$L,12,FALSE()),"")</f>
        <v/>
      </c>
      <c r="R490" s="85">
        <f t="shared" ca="1" si="14"/>
        <v>-604</v>
      </c>
      <c r="S490" s="86" t="str">
        <f t="shared" ca="1" si="15"/>
        <v>EXPIRED</v>
      </c>
    </row>
    <row r="491" spans="1:19" ht="15.75" customHeight="1">
      <c r="A491" s="75">
        <v>500</v>
      </c>
      <c r="B491" s="76" t="s">
        <v>289</v>
      </c>
      <c r="C491" s="77" t="s">
        <v>288</v>
      </c>
      <c r="D491" s="77" t="s">
        <v>287</v>
      </c>
      <c r="E491" s="78" t="s">
        <v>6</v>
      </c>
      <c r="F491" s="77" t="s">
        <v>272</v>
      </c>
      <c r="G491" s="79" t="s">
        <v>271</v>
      </c>
      <c r="H491" s="78"/>
      <c r="I491" s="78"/>
      <c r="J491" s="78" t="s">
        <v>286</v>
      </c>
      <c r="K491" s="81" t="s">
        <v>2</v>
      </c>
      <c r="L491" s="82">
        <f>IFERROR(VLOOKUP($B491,[1]Sheet2!$A:$L,11,FALSE()),"")</f>
        <v>45994</v>
      </c>
      <c r="M491" s="91">
        <v>46386</v>
      </c>
      <c r="N491" s="84">
        <v>46386</v>
      </c>
      <c r="O491" s="78" t="s">
        <v>1</v>
      </c>
      <c r="P491" s="78"/>
      <c r="Q491" s="78" t="str">
        <f>IFERROR(VLOOKUP($B491,[1]Sheet2!$A:$L,12,FALSE()),"")</f>
        <v>Dubai</v>
      </c>
      <c r="R491" s="85">
        <f t="shared" ca="1" si="14"/>
        <v>139</v>
      </c>
      <c r="S491" s="86" t="str">
        <f t="shared" ca="1" si="15"/>
        <v>✓ OK</v>
      </c>
    </row>
    <row r="492" spans="1:19" ht="15.75" customHeight="1">
      <c r="A492" s="75">
        <v>501</v>
      </c>
      <c r="B492" s="76" t="s">
        <v>285</v>
      </c>
      <c r="C492" s="77" t="s">
        <v>284</v>
      </c>
      <c r="D492" s="77" t="s">
        <v>284</v>
      </c>
      <c r="E492" s="78" t="s">
        <v>6</v>
      </c>
      <c r="F492" s="77" t="s">
        <v>272</v>
      </c>
      <c r="G492" s="79" t="s">
        <v>271</v>
      </c>
      <c r="H492" s="78"/>
      <c r="I492" s="78"/>
      <c r="J492" s="78" t="s">
        <v>283</v>
      </c>
      <c r="K492" s="88" t="s">
        <v>42</v>
      </c>
      <c r="L492" s="82">
        <f>IFERROR(VLOOKUP($B492,[1]Sheet2!$A:$L,11,FALSE()),"")</f>
        <v>45009</v>
      </c>
      <c r="M492" s="90">
        <v>46133</v>
      </c>
      <c r="N492" s="78" t="s">
        <v>133</v>
      </c>
      <c r="O492" s="78"/>
      <c r="P492" s="78"/>
      <c r="Q492" s="78" t="str">
        <f>IFERROR(VLOOKUP($B492,[1]Sheet2!$A:$L,12,FALSE()),"")</f>
        <v>Dubai</v>
      </c>
      <c r="R492" s="85">
        <f t="shared" ca="1" si="14"/>
        <v>-114</v>
      </c>
      <c r="S492" s="86" t="str">
        <f t="shared" ca="1" si="15"/>
        <v>EXPIRED</v>
      </c>
    </row>
    <row r="493" spans="1:19" ht="15.75" customHeight="1">
      <c r="A493" s="75">
        <v>502</v>
      </c>
      <c r="B493" s="76" t="s">
        <v>282</v>
      </c>
      <c r="C493" s="77" t="s">
        <v>281</v>
      </c>
      <c r="D493" s="102" t="s">
        <v>281</v>
      </c>
      <c r="E493" s="78" t="s">
        <v>6</v>
      </c>
      <c r="F493" s="77" t="s">
        <v>272</v>
      </c>
      <c r="G493" s="79" t="s">
        <v>271</v>
      </c>
      <c r="H493" s="78"/>
      <c r="I493" s="78"/>
      <c r="J493" s="78" t="s">
        <v>280</v>
      </c>
      <c r="K493" s="81" t="s">
        <v>2</v>
      </c>
      <c r="L493" s="82">
        <f>IFERROR(VLOOKUP($B493,[1]Sheet2!$A:$L,11,FALSE()),"")</f>
        <v>45993</v>
      </c>
      <c r="M493" s="91">
        <v>46386</v>
      </c>
      <c r="N493" s="84">
        <v>46386</v>
      </c>
      <c r="O493" s="78" t="s">
        <v>2</v>
      </c>
      <c r="P493" s="78"/>
      <c r="Q493" s="78" t="str">
        <f>IFERROR(VLOOKUP($B493,[1]Sheet2!$A:$L,12,FALSE()),"")</f>
        <v>Dubai</v>
      </c>
      <c r="R493" s="85">
        <f t="shared" ca="1" si="14"/>
        <v>139</v>
      </c>
      <c r="S493" s="86" t="str">
        <f t="shared" ca="1" si="15"/>
        <v>✓ OK</v>
      </c>
    </row>
    <row r="494" spans="1:19" ht="15.75" customHeight="1">
      <c r="A494" s="75">
        <v>503</v>
      </c>
      <c r="B494" s="76" t="s">
        <v>279</v>
      </c>
      <c r="C494" s="102" t="s">
        <v>278</v>
      </c>
      <c r="D494" s="102" t="s">
        <v>278</v>
      </c>
      <c r="E494" s="78" t="s">
        <v>6</v>
      </c>
      <c r="F494" s="77" t="s">
        <v>272</v>
      </c>
      <c r="G494" s="79" t="s">
        <v>271</v>
      </c>
      <c r="H494" s="78"/>
      <c r="I494" s="78"/>
      <c r="J494" s="78" t="s">
        <v>3</v>
      </c>
      <c r="K494" s="81" t="s">
        <v>2</v>
      </c>
      <c r="L494" s="82">
        <f>IFERROR(VLOOKUP($B494,[1]Sheet2!$A:$L,11,FALSE()),"")</f>
        <v>45988</v>
      </c>
      <c r="M494" s="91">
        <v>46392</v>
      </c>
      <c r="N494" s="84">
        <v>46386</v>
      </c>
      <c r="O494" s="78" t="s">
        <v>181</v>
      </c>
      <c r="P494" s="78"/>
      <c r="Q494" s="78" t="str">
        <f>IFERROR(VLOOKUP($B494,[1]Sheet2!$A:$L,12,FALSE()),"")</f>
        <v>Dubai</v>
      </c>
      <c r="R494" s="85">
        <f t="shared" ca="1" si="14"/>
        <v>145</v>
      </c>
      <c r="S494" s="86" t="str">
        <f t="shared" ca="1" si="15"/>
        <v>✓ OK</v>
      </c>
    </row>
    <row r="495" spans="1:19" ht="15.75" customHeight="1">
      <c r="A495" s="75">
        <v>504</v>
      </c>
      <c r="B495" s="76" t="s">
        <v>277</v>
      </c>
      <c r="C495" s="77" t="s">
        <v>276</v>
      </c>
      <c r="D495" s="77"/>
      <c r="E495" s="78" t="s">
        <v>6</v>
      </c>
      <c r="F495" s="77" t="s">
        <v>272</v>
      </c>
      <c r="G495" s="79" t="s">
        <v>271</v>
      </c>
      <c r="H495" s="78"/>
      <c r="I495" s="78"/>
      <c r="J495" s="103" t="s">
        <v>275</v>
      </c>
      <c r="K495" s="88" t="s">
        <v>42</v>
      </c>
      <c r="L495" s="82" t="str">
        <f>IFERROR(VLOOKUP($B495,[1]Sheet2!$A:$L,11,FALSE()),"")</f>
        <v/>
      </c>
      <c r="M495" s="83">
        <v>45656</v>
      </c>
      <c r="N495" s="78" t="s">
        <v>133</v>
      </c>
      <c r="O495" s="78"/>
      <c r="P495" s="78"/>
      <c r="Q495" s="78" t="str">
        <f>IFERROR(VLOOKUP($B495,[1]Sheet2!$A:$L,12,FALSE()),"")</f>
        <v/>
      </c>
      <c r="R495" s="85">
        <f t="shared" ca="1" si="14"/>
        <v>-591</v>
      </c>
      <c r="S495" s="86" t="str">
        <f t="shared" ca="1" si="15"/>
        <v>EXPIRED</v>
      </c>
    </row>
    <row r="496" spans="1:19" ht="15.75" customHeight="1">
      <c r="A496" s="75">
        <v>505</v>
      </c>
      <c r="B496" s="76" t="s">
        <v>274</v>
      </c>
      <c r="C496" s="77" t="s">
        <v>273</v>
      </c>
      <c r="D496" s="77"/>
      <c r="E496" s="78" t="s">
        <v>6</v>
      </c>
      <c r="F496" s="77" t="s">
        <v>272</v>
      </c>
      <c r="G496" s="79" t="s">
        <v>271</v>
      </c>
      <c r="H496" s="78"/>
      <c r="I496" s="78"/>
      <c r="J496" s="78" t="s">
        <v>99</v>
      </c>
      <c r="K496" s="88" t="s">
        <v>42</v>
      </c>
      <c r="L496" s="82" t="str">
        <f>IFERROR(VLOOKUP($B496,[1]Sheet2!$A:$L,11,FALSE()),"")</f>
        <v/>
      </c>
      <c r="M496" s="83">
        <v>45656</v>
      </c>
      <c r="N496" s="78" t="s">
        <v>133</v>
      </c>
      <c r="O496" s="78"/>
      <c r="P496" s="78"/>
      <c r="Q496" s="78" t="str">
        <f>IFERROR(VLOOKUP($B496,[1]Sheet2!$A:$L,12,FALSE()),"")</f>
        <v/>
      </c>
      <c r="R496" s="85">
        <f t="shared" ca="1" si="14"/>
        <v>-591</v>
      </c>
      <c r="S496" s="86" t="str">
        <f t="shared" ca="1" si="15"/>
        <v>EXPIRED</v>
      </c>
    </row>
    <row r="497" spans="1:19" ht="15.75" customHeight="1">
      <c r="A497" s="75">
        <v>506</v>
      </c>
      <c r="B497" s="76" t="s">
        <v>270</v>
      </c>
      <c r="C497" s="77" t="s">
        <v>269</v>
      </c>
      <c r="D497" s="77" t="s">
        <v>268</v>
      </c>
      <c r="E497" s="78" t="s">
        <v>6</v>
      </c>
      <c r="F497" s="77" t="s">
        <v>144</v>
      </c>
      <c r="G497" s="79" t="s">
        <v>220</v>
      </c>
      <c r="H497" s="104" t="s">
        <v>267</v>
      </c>
      <c r="I497" s="78" t="s">
        <v>266</v>
      </c>
      <c r="J497" s="103" t="s">
        <v>265</v>
      </c>
      <c r="K497" s="81" t="s">
        <v>2</v>
      </c>
      <c r="L497" s="82">
        <f>IFERROR(VLOOKUP($B497,[1]Sheet2!$A:$L,11,FALSE()),"")</f>
        <v>45996</v>
      </c>
      <c r="M497" s="83">
        <v>46386</v>
      </c>
      <c r="N497" s="84">
        <v>46386</v>
      </c>
      <c r="O497" s="78" t="s">
        <v>1</v>
      </c>
      <c r="P497" s="78"/>
      <c r="Q497" s="78" t="str">
        <f>IFERROR(VLOOKUP($B497,[1]Sheet2!$A:$L,12,FALSE()),"")</f>
        <v>Dubai</v>
      </c>
      <c r="R497" s="85">
        <f t="shared" ca="1" si="14"/>
        <v>139</v>
      </c>
      <c r="S497" s="86" t="str">
        <f t="shared" ca="1" si="15"/>
        <v>✓ OK</v>
      </c>
    </row>
    <row r="498" spans="1:19" ht="15.75" customHeight="1">
      <c r="A498" s="75">
        <v>507</v>
      </c>
      <c r="B498" s="76" t="s">
        <v>264</v>
      </c>
      <c r="C498" s="77" t="s">
        <v>263</v>
      </c>
      <c r="D498" s="77"/>
      <c r="E498" s="78" t="s">
        <v>6</v>
      </c>
      <c r="F498" s="77" t="s">
        <v>144</v>
      </c>
      <c r="G498" s="79" t="s">
        <v>160</v>
      </c>
      <c r="H498" s="78"/>
      <c r="I498" s="78"/>
      <c r="J498" s="78" t="s">
        <v>262</v>
      </c>
      <c r="K498" s="88" t="s">
        <v>42</v>
      </c>
      <c r="L498" s="82" t="str">
        <f>IFERROR(VLOOKUP($B498,[1]Sheet2!$A:$L,11,FALSE()),"")</f>
        <v/>
      </c>
      <c r="M498" s="90">
        <v>45621</v>
      </c>
      <c r="N498" s="78" t="s">
        <v>133</v>
      </c>
      <c r="O498" s="78" t="s">
        <v>41</v>
      </c>
      <c r="P498" s="78"/>
      <c r="Q498" s="78" t="str">
        <f>IFERROR(VLOOKUP($B498,[1]Sheet2!$A:$L,12,FALSE()),"")</f>
        <v/>
      </c>
      <c r="R498" s="85">
        <f t="shared" ca="1" si="14"/>
        <v>-626</v>
      </c>
      <c r="S498" s="86" t="str">
        <f t="shared" ca="1" si="15"/>
        <v>EXPIRED</v>
      </c>
    </row>
    <row r="499" spans="1:19" ht="15.75" customHeight="1">
      <c r="A499" s="75">
        <v>508</v>
      </c>
      <c r="B499" s="76" t="s">
        <v>261</v>
      </c>
      <c r="C499" s="77" t="s">
        <v>260</v>
      </c>
      <c r="D499" s="77" t="s">
        <v>260</v>
      </c>
      <c r="E499" s="78" t="s">
        <v>6</v>
      </c>
      <c r="F499" s="77" t="s">
        <v>144</v>
      </c>
      <c r="G499" s="79" t="s">
        <v>143</v>
      </c>
      <c r="H499" s="78"/>
      <c r="I499" s="78"/>
      <c r="J499" s="78" t="s">
        <v>259</v>
      </c>
      <c r="K499" s="81" t="s">
        <v>2</v>
      </c>
      <c r="L499" s="82">
        <f>IFERROR(VLOOKUP($B499,[1]Sheet2!$A:$L,11,FALSE()),"")</f>
        <v>45993</v>
      </c>
      <c r="M499" s="83">
        <v>46386</v>
      </c>
      <c r="N499" s="84">
        <v>46386</v>
      </c>
      <c r="O499" s="78" t="s">
        <v>1</v>
      </c>
      <c r="P499" s="78"/>
      <c r="Q499" s="78" t="str">
        <f>IFERROR(VLOOKUP($B499,[1]Sheet2!$A:$L,12,FALSE()),"")</f>
        <v>Dubai</v>
      </c>
      <c r="R499" s="85">
        <f t="shared" ca="1" si="14"/>
        <v>139</v>
      </c>
      <c r="S499" s="86" t="str">
        <f t="shared" ca="1" si="15"/>
        <v>✓ OK</v>
      </c>
    </row>
    <row r="500" spans="1:19" ht="15.75" customHeight="1">
      <c r="A500" s="75">
        <v>509</v>
      </c>
      <c r="B500" s="76" t="s">
        <v>258</v>
      </c>
      <c r="C500" s="77" t="s">
        <v>257</v>
      </c>
      <c r="D500" s="77" t="s">
        <v>257</v>
      </c>
      <c r="E500" s="78" t="s">
        <v>6</v>
      </c>
      <c r="F500" s="77" t="s">
        <v>144</v>
      </c>
      <c r="G500" s="79" t="s">
        <v>143</v>
      </c>
      <c r="H500" s="78"/>
      <c r="I500" s="78"/>
      <c r="J500" s="78" t="s">
        <v>256</v>
      </c>
      <c r="K500" s="88" t="s">
        <v>42</v>
      </c>
      <c r="L500" s="82" t="str">
        <f>IFERROR(VLOOKUP($B500,[1]Sheet2!$A:$L,11,FALSE()),"")</f>
        <v/>
      </c>
      <c r="M500" s="90">
        <v>43829</v>
      </c>
      <c r="N500" s="78" t="s">
        <v>133</v>
      </c>
      <c r="O500" s="78" t="s">
        <v>41</v>
      </c>
      <c r="P500" s="78"/>
      <c r="Q500" s="78" t="str">
        <f>IFERROR(VLOOKUP($B500,[1]Sheet2!$A:$L,12,FALSE()),"")</f>
        <v/>
      </c>
      <c r="R500" s="85">
        <f t="shared" ca="1" si="14"/>
        <v>-2418</v>
      </c>
      <c r="S500" s="86" t="str">
        <f t="shared" ca="1" si="15"/>
        <v>EXPIRED</v>
      </c>
    </row>
    <row r="501" spans="1:19" ht="15.75" customHeight="1">
      <c r="A501" s="75">
        <v>510</v>
      </c>
      <c r="B501" s="76" t="s">
        <v>255</v>
      </c>
      <c r="C501" s="77" t="s">
        <v>254</v>
      </c>
      <c r="D501" s="77" t="s">
        <v>254</v>
      </c>
      <c r="E501" s="78" t="s">
        <v>6</v>
      </c>
      <c r="F501" s="77" t="s">
        <v>144</v>
      </c>
      <c r="G501" s="79" t="s">
        <v>143</v>
      </c>
      <c r="H501" s="78"/>
      <c r="I501" s="78"/>
      <c r="J501" s="103" t="s">
        <v>253</v>
      </c>
      <c r="K501" s="81" t="s">
        <v>2</v>
      </c>
      <c r="L501" s="82">
        <f>IFERROR(VLOOKUP($B501,[1]Sheet2!$A:$L,11,FALSE()),"")</f>
        <v>45996</v>
      </c>
      <c r="M501" s="83">
        <v>46751</v>
      </c>
      <c r="N501" s="84">
        <v>46386</v>
      </c>
      <c r="O501" s="78" t="s">
        <v>1</v>
      </c>
      <c r="P501" s="78"/>
      <c r="Q501" s="78" t="str">
        <f>IFERROR(VLOOKUP($B501,[1]Sheet2!$A:$L,12,FALSE()),"")</f>
        <v>Dubai</v>
      </c>
      <c r="R501" s="85">
        <f t="shared" ca="1" si="14"/>
        <v>504</v>
      </c>
      <c r="S501" s="86" t="str">
        <f t="shared" ca="1" si="15"/>
        <v>✓ OK</v>
      </c>
    </row>
    <row r="502" spans="1:19" ht="15.75" customHeight="1">
      <c r="A502" s="75">
        <v>511</v>
      </c>
      <c r="B502" s="76" t="s">
        <v>252</v>
      </c>
      <c r="C502" s="77" t="s">
        <v>251</v>
      </c>
      <c r="D502" s="77" t="s">
        <v>251</v>
      </c>
      <c r="E502" s="78" t="s">
        <v>6</v>
      </c>
      <c r="F502" s="77" t="s">
        <v>144</v>
      </c>
      <c r="G502" s="79" t="s">
        <v>143</v>
      </c>
      <c r="H502" s="78"/>
      <c r="I502" s="78"/>
      <c r="J502" s="103" t="s">
        <v>250</v>
      </c>
      <c r="K502" s="88" t="s">
        <v>42</v>
      </c>
      <c r="L502" s="82" t="str">
        <f>IFERROR(VLOOKUP($B502,[1]Sheet2!$A:$L,11,FALSE()),"")</f>
        <v/>
      </c>
      <c r="M502" s="90">
        <v>44071</v>
      </c>
      <c r="N502" s="78" t="s">
        <v>133</v>
      </c>
      <c r="O502" s="78" t="s">
        <v>41</v>
      </c>
      <c r="P502" s="78"/>
      <c r="Q502" s="78" t="str">
        <f>IFERROR(VLOOKUP($B502,[1]Sheet2!$A:$L,12,FALSE()),"")</f>
        <v/>
      </c>
      <c r="R502" s="85">
        <f t="shared" ca="1" si="14"/>
        <v>-2176</v>
      </c>
      <c r="S502" s="86" t="str">
        <f t="shared" ca="1" si="15"/>
        <v>EXPIRED</v>
      </c>
    </row>
    <row r="503" spans="1:19" ht="15.75" customHeight="1">
      <c r="A503" s="75">
        <v>512</v>
      </c>
      <c r="B503" s="76" t="s">
        <v>249</v>
      </c>
      <c r="C503" s="77" t="s">
        <v>248</v>
      </c>
      <c r="D503" s="77" t="s">
        <v>188</v>
      </c>
      <c r="E503" s="78" t="s">
        <v>6</v>
      </c>
      <c r="F503" s="77" t="s">
        <v>144</v>
      </c>
      <c r="G503" s="79" t="s">
        <v>160</v>
      </c>
      <c r="H503" s="78"/>
      <c r="I503" s="78"/>
      <c r="J503" s="103" t="s">
        <v>247</v>
      </c>
      <c r="K503" s="81" t="s">
        <v>2</v>
      </c>
      <c r="L503" s="82">
        <f>IFERROR(VLOOKUP($B503,[1]Sheet2!$A:$L,11,FALSE()),"")</f>
        <v>45996</v>
      </c>
      <c r="M503" s="83">
        <v>46386</v>
      </c>
      <c r="N503" s="84">
        <v>46386</v>
      </c>
      <c r="O503" s="78" t="s">
        <v>132</v>
      </c>
      <c r="P503" s="78"/>
      <c r="Q503" s="78" t="str">
        <f>IFERROR(VLOOKUP($B503,[1]Sheet2!$A:$L,12,FALSE()),"")</f>
        <v>Dubai</v>
      </c>
      <c r="R503" s="85">
        <f t="shared" ca="1" si="14"/>
        <v>139</v>
      </c>
      <c r="S503" s="86" t="str">
        <f t="shared" ca="1" si="15"/>
        <v>✓ OK</v>
      </c>
    </row>
    <row r="504" spans="1:19" ht="15.75" customHeight="1">
      <c r="A504" s="75">
        <v>513</v>
      </c>
      <c r="B504" s="76" t="s">
        <v>246</v>
      </c>
      <c r="C504" s="77" t="s">
        <v>245</v>
      </c>
      <c r="D504" s="77" t="s">
        <v>188</v>
      </c>
      <c r="E504" s="78" t="s">
        <v>6</v>
      </c>
      <c r="F504" s="77" t="s">
        <v>144</v>
      </c>
      <c r="G504" s="79" t="s">
        <v>160</v>
      </c>
      <c r="H504" s="78"/>
      <c r="I504" s="78"/>
      <c r="J504" s="103" t="s">
        <v>244</v>
      </c>
      <c r="K504" s="81" t="s">
        <v>2</v>
      </c>
      <c r="L504" s="82">
        <f>IFERROR(VLOOKUP($B504,[1]Sheet2!$A:$L,11,FALSE()),"")</f>
        <v>45994</v>
      </c>
      <c r="M504" s="83">
        <v>46386</v>
      </c>
      <c r="N504" s="84">
        <v>46386</v>
      </c>
      <c r="O504" s="78" t="s">
        <v>132</v>
      </c>
      <c r="P504" s="78"/>
      <c r="Q504" s="78" t="str">
        <f>IFERROR(VLOOKUP($B504,[1]Sheet2!$A:$L,12,FALSE()),"")</f>
        <v>Abu Dhabi</v>
      </c>
      <c r="R504" s="85">
        <f t="shared" ca="1" si="14"/>
        <v>139</v>
      </c>
      <c r="S504" s="86" t="str">
        <f t="shared" ca="1" si="15"/>
        <v>✓ OK</v>
      </c>
    </row>
    <row r="505" spans="1:19" ht="15.75" customHeight="1">
      <c r="A505" s="75">
        <v>514</v>
      </c>
      <c r="B505" s="76" t="s">
        <v>243</v>
      </c>
      <c r="C505" s="77" t="s">
        <v>242</v>
      </c>
      <c r="D505" s="77" t="s">
        <v>188</v>
      </c>
      <c r="E505" s="78" t="s">
        <v>6</v>
      </c>
      <c r="F505" s="77" t="s">
        <v>144</v>
      </c>
      <c r="G505" s="79" t="s">
        <v>160</v>
      </c>
      <c r="H505" s="78"/>
      <c r="I505" s="78"/>
      <c r="J505" s="78" t="s">
        <v>241</v>
      </c>
      <c r="K505" s="81" t="s">
        <v>2</v>
      </c>
      <c r="L505" s="82">
        <f>IFERROR(VLOOKUP($B505,[1]Sheet2!$A:$L,11,FALSE()),"")</f>
        <v>45996</v>
      </c>
      <c r="M505" s="83">
        <v>46386</v>
      </c>
      <c r="N505" s="84">
        <v>46386</v>
      </c>
      <c r="O505" s="78" t="s">
        <v>132</v>
      </c>
      <c r="P505" s="78"/>
      <c r="Q505" s="78" t="str">
        <f>IFERROR(VLOOKUP($B505,[1]Sheet2!$A:$L,12,FALSE()),"")</f>
        <v>Dubai</v>
      </c>
      <c r="R505" s="85">
        <f t="shared" ca="1" si="14"/>
        <v>139</v>
      </c>
      <c r="S505" s="86" t="str">
        <f t="shared" ca="1" si="15"/>
        <v>✓ OK</v>
      </c>
    </row>
    <row r="506" spans="1:19" ht="15.75" customHeight="1">
      <c r="A506" s="75">
        <v>515</v>
      </c>
      <c r="B506" s="76" t="s">
        <v>240</v>
      </c>
      <c r="C506" s="77" t="s">
        <v>239</v>
      </c>
      <c r="D506" s="77" t="s">
        <v>188</v>
      </c>
      <c r="E506" s="78" t="s">
        <v>6</v>
      </c>
      <c r="F506" s="77" t="s">
        <v>144</v>
      </c>
      <c r="G506" s="79" t="s">
        <v>160</v>
      </c>
      <c r="H506" s="78"/>
      <c r="I506" s="78"/>
      <c r="J506" s="78" t="s">
        <v>238</v>
      </c>
      <c r="K506" s="81" t="s">
        <v>2</v>
      </c>
      <c r="L506" s="82">
        <f>IFERROR(VLOOKUP($B506,[1]Sheet2!$A:$L,11,FALSE()),"")</f>
        <v>45998</v>
      </c>
      <c r="M506" s="83">
        <v>46386</v>
      </c>
      <c r="N506" s="84">
        <v>46386</v>
      </c>
      <c r="O506" s="78" t="s">
        <v>132</v>
      </c>
      <c r="P506" s="78"/>
      <c r="Q506" s="78" t="str">
        <f>IFERROR(VLOOKUP($B506,[1]Sheet2!$A:$L,12,FALSE()),"")</f>
        <v>Dubai</v>
      </c>
      <c r="R506" s="85">
        <f t="shared" ca="1" si="14"/>
        <v>139</v>
      </c>
      <c r="S506" s="86" t="str">
        <f t="shared" ca="1" si="15"/>
        <v>✓ OK</v>
      </c>
    </row>
    <row r="507" spans="1:19" ht="15.75" customHeight="1">
      <c r="A507" s="75">
        <v>516</v>
      </c>
      <c r="B507" s="76" t="s">
        <v>237</v>
      </c>
      <c r="C507" s="77" t="s">
        <v>236</v>
      </c>
      <c r="D507" s="77" t="s">
        <v>188</v>
      </c>
      <c r="E507" s="78" t="s">
        <v>6</v>
      </c>
      <c r="F507" s="77" t="s">
        <v>144</v>
      </c>
      <c r="G507" s="79" t="s">
        <v>160</v>
      </c>
      <c r="H507" s="78"/>
      <c r="I507" s="78"/>
      <c r="J507" s="78" t="s">
        <v>235</v>
      </c>
      <c r="K507" s="88" t="s">
        <v>42</v>
      </c>
      <c r="L507" s="82" t="str">
        <f>IFERROR(VLOOKUP($B507,[1]Sheet2!$A:$L,11,FALSE()),"")</f>
        <v/>
      </c>
      <c r="M507" s="90">
        <v>45656</v>
      </c>
      <c r="N507" s="78" t="s">
        <v>133</v>
      </c>
      <c r="O507" s="78" t="s">
        <v>41</v>
      </c>
      <c r="P507" s="78"/>
      <c r="Q507" s="78" t="str">
        <f>IFERROR(VLOOKUP($B507,[1]Sheet2!$A:$L,12,FALSE()),"")</f>
        <v/>
      </c>
      <c r="R507" s="85">
        <f t="shared" ca="1" si="14"/>
        <v>-591</v>
      </c>
      <c r="S507" s="86" t="str">
        <f t="shared" ca="1" si="15"/>
        <v>EXPIRED</v>
      </c>
    </row>
    <row r="508" spans="1:19" ht="15.75" customHeight="1">
      <c r="A508" s="75">
        <v>517</v>
      </c>
      <c r="B508" s="76" t="s">
        <v>234</v>
      </c>
      <c r="C508" s="77" t="s">
        <v>233</v>
      </c>
      <c r="D508" s="77" t="s">
        <v>188</v>
      </c>
      <c r="E508" s="78" t="s">
        <v>6</v>
      </c>
      <c r="F508" s="77" t="s">
        <v>144</v>
      </c>
      <c r="G508" s="79" t="s">
        <v>160</v>
      </c>
      <c r="H508" s="78"/>
      <c r="I508" s="78"/>
      <c r="J508" s="78" t="s">
        <v>232</v>
      </c>
      <c r="K508" s="88" t="s">
        <v>42</v>
      </c>
      <c r="L508" s="82" t="str">
        <f>IFERROR(VLOOKUP($B508,[1]Sheet2!$A:$L,11,FALSE()),"")</f>
        <v/>
      </c>
      <c r="M508" s="90">
        <v>45656</v>
      </c>
      <c r="N508" s="78" t="s">
        <v>133</v>
      </c>
      <c r="O508" s="78" t="s">
        <v>41</v>
      </c>
      <c r="P508" s="78"/>
      <c r="Q508" s="78" t="str">
        <f>IFERROR(VLOOKUP($B508,[1]Sheet2!$A:$L,12,FALSE()),"")</f>
        <v/>
      </c>
      <c r="R508" s="85">
        <f t="shared" ca="1" si="14"/>
        <v>-591</v>
      </c>
      <c r="S508" s="86" t="str">
        <f t="shared" ca="1" si="15"/>
        <v>EXPIRED</v>
      </c>
    </row>
    <row r="509" spans="1:19" ht="15.75" customHeight="1">
      <c r="A509" s="75">
        <v>518</v>
      </c>
      <c r="B509" s="76" t="s">
        <v>231</v>
      </c>
      <c r="C509" s="77" t="s">
        <v>230</v>
      </c>
      <c r="D509" s="77" t="s">
        <v>188</v>
      </c>
      <c r="E509" s="78" t="s">
        <v>6</v>
      </c>
      <c r="F509" s="77" t="s">
        <v>144</v>
      </c>
      <c r="G509" s="79" t="s">
        <v>160</v>
      </c>
      <c r="H509" s="78"/>
      <c r="I509" s="78"/>
      <c r="J509" s="103" t="s">
        <v>229</v>
      </c>
      <c r="K509" s="81" t="s">
        <v>2</v>
      </c>
      <c r="L509" s="82">
        <f>IFERROR(VLOOKUP($B509,[1]Sheet2!$A:$L,11,FALSE()),"")</f>
        <v>45996</v>
      </c>
      <c r="M509" s="83">
        <v>46386</v>
      </c>
      <c r="N509" s="84">
        <v>46386</v>
      </c>
      <c r="O509" s="78" t="s">
        <v>132</v>
      </c>
      <c r="P509" s="78"/>
      <c r="Q509" s="78" t="str">
        <f>IFERROR(VLOOKUP($B509,[1]Sheet2!$A:$L,12,FALSE()),"")</f>
        <v>Dubai</v>
      </c>
      <c r="R509" s="85">
        <f t="shared" ca="1" si="14"/>
        <v>139</v>
      </c>
      <c r="S509" s="86" t="str">
        <f t="shared" ca="1" si="15"/>
        <v>✓ OK</v>
      </c>
    </row>
    <row r="510" spans="1:19" ht="15.75" customHeight="1">
      <c r="A510" s="75">
        <v>519</v>
      </c>
      <c r="B510" s="76" t="s">
        <v>228</v>
      </c>
      <c r="C510" s="77" t="s">
        <v>227</v>
      </c>
      <c r="D510" s="77" t="s">
        <v>188</v>
      </c>
      <c r="E510" s="78" t="s">
        <v>6</v>
      </c>
      <c r="F510" s="77" t="s">
        <v>144</v>
      </c>
      <c r="G510" s="79" t="s">
        <v>160</v>
      </c>
      <c r="H510" s="78"/>
      <c r="I510" s="78"/>
      <c r="J510" s="78" t="s">
        <v>226</v>
      </c>
      <c r="K510" s="88" t="s">
        <v>42</v>
      </c>
      <c r="L510" s="82" t="str">
        <f>IFERROR(VLOOKUP($B510,[1]Sheet2!$A:$L,11,FALSE()),"")</f>
        <v/>
      </c>
      <c r="M510" s="90">
        <v>46021</v>
      </c>
      <c r="N510" s="78" t="s">
        <v>133</v>
      </c>
      <c r="O510" s="78" t="s">
        <v>41</v>
      </c>
      <c r="P510" s="78"/>
      <c r="Q510" s="78" t="str">
        <f>IFERROR(VLOOKUP($B510,[1]Sheet2!$A:$L,12,FALSE()),"")</f>
        <v/>
      </c>
      <c r="R510" s="85">
        <f t="shared" ca="1" si="14"/>
        <v>-226</v>
      </c>
      <c r="S510" s="86" t="str">
        <f t="shared" ca="1" si="15"/>
        <v>EXPIRED</v>
      </c>
    </row>
    <row r="511" spans="1:19" ht="15.75" customHeight="1">
      <c r="A511" s="75">
        <v>520</v>
      </c>
      <c r="B511" s="76" t="s">
        <v>225</v>
      </c>
      <c r="C511" s="77" t="s">
        <v>224</v>
      </c>
      <c r="D511" s="77" t="s">
        <v>188</v>
      </c>
      <c r="E511" s="78" t="s">
        <v>6</v>
      </c>
      <c r="F511" s="77" t="s">
        <v>144</v>
      </c>
      <c r="G511" s="79" t="s">
        <v>220</v>
      </c>
      <c r="H511" s="78"/>
      <c r="I511" s="78"/>
      <c r="J511" s="103" t="s">
        <v>223</v>
      </c>
      <c r="K511" s="81" t="s">
        <v>2</v>
      </c>
      <c r="L511" s="82">
        <f>IFERROR(VLOOKUP($B511,[1]Sheet2!$A:$L,11,FALSE()),"")</f>
        <v>45996</v>
      </c>
      <c r="M511" s="83">
        <v>46386</v>
      </c>
      <c r="N511" s="84">
        <v>46386</v>
      </c>
      <c r="O511" s="78" t="s">
        <v>132</v>
      </c>
      <c r="P511" s="78"/>
      <c r="Q511" s="78" t="str">
        <f>IFERROR(VLOOKUP($B511,[1]Sheet2!$A:$L,12,FALSE()),"")</f>
        <v>Dubai</v>
      </c>
      <c r="R511" s="85">
        <f t="shared" ca="1" si="14"/>
        <v>139</v>
      </c>
      <c r="S511" s="86" t="str">
        <f t="shared" ca="1" si="15"/>
        <v>✓ OK</v>
      </c>
    </row>
    <row r="512" spans="1:19" ht="15.75" customHeight="1">
      <c r="A512" s="75">
        <v>521</v>
      </c>
      <c r="B512" s="76" t="s">
        <v>222</v>
      </c>
      <c r="C512" s="77" t="s">
        <v>221</v>
      </c>
      <c r="D512" s="77"/>
      <c r="E512" s="78" t="s">
        <v>6</v>
      </c>
      <c r="F512" s="77" t="s">
        <v>144</v>
      </c>
      <c r="G512" s="79" t="s">
        <v>220</v>
      </c>
      <c r="H512" s="78"/>
      <c r="I512" s="78"/>
      <c r="J512" s="78" t="s">
        <v>219</v>
      </c>
      <c r="K512" s="81" t="s">
        <v>2</v>
      </c>
      <c r="L512" s="82">
        <f>IFERROR(VLOOKUP($B512,[1]Sheet2!$A:$L,11,FALSE()),"")</f>
        <v>45998</v>
      </c>
      <c r="M512" s="83">
        <v>46386</v>
      </c>
      <c r="N512" s="84">
        <v>46386</v>
      </c>
      <c r="O512" s="78" t="s">
        <v>88</v>
      </c>
      <c r="P512" s="78"/>
      <c r="Q512" s="78" t="str">
        <f>IFERROR(VLOOKUP($B512,[1]Sheet2!$A:$L,12,FALSE()),"")</f>
        <v>Dubai</v>
      </c>
      <c r="R512" s="85">
        <f t="shared" ca="1" si="14"/>
        <v>139</v>
      </c>
      <c r="S512" s="86" t="str">
        <f t="shared" ca="1" si="15"/>
        <v>✓ OK</v>
      </c>
    </row>
    <row r="513" spans="1:19" ht="15.75" customHeight="1">
      <c r="A513" s="75">
        <v>522</v>
      </c>
      <c r="B513" s="76" t="s">
        <v>218</v>
      </c>
      <c r="C513" s="77" t="s">
        <v>217</v>
      </c>
      <c r="D513" s="77"/>
      <c r="E513" s="78" t="s">
        <v>6</v>
      </c>
      <c r="F513" s="77" t="s">
        <v>144</v>
      </c>
      <c r="G513" s="79" t="s">
        <v>216</v>
      </c>
      <c r="H513" s="78"/>
      <c r="I513" s="78"/>
      <c r="J513" s="78" t="s">
        <v>215</v>
      </c>
      <c r="K513" s="88" t="s">
        <v>42</v>
      </c>
      <c r="L513" s="82" t="str">
        <f>IFERROR(VLOOKUP($B513,[1]Sheet2!$A:$L,11,FALSE()),"")</f>
        <v/>
      </c>
      <c r="M513" s="90">
        <v>45656</v>
      </c>
      <c r="N513" s="78" t="s">
        <v>42</v>
      </c>
      <c r="O513" s="78" t="s">
        <v>88</v>
      </c>
      <c r="P513" s="78"/>
      <c r="Q513" s="78" t="str">
        <f>IFERROR(VLOOKUP($B513,[1]Sheet2!$A:$L,12,FALSE()),"")</f>
        <v/>
      </c>
      <c r="R513" s="85">
        <f t="shared" ca="1" si="14"/>
        <v>-591</v>
      </c>
      <c r="S513" s="86" t="str">
        <f t="shared" ca="1" si="15"/>
        <v>EXPIRED</v>
      </c>
    </row>
    <row r="514" spans="1:19" ht="15.75" customHeight="1">
      <c r="A514" s="75">
        <v>523</v>
      </c>
      <c r="B514" s="76" t="s">
        <v>214</v>
      </c>
      <c r="C514" s="77" t="s">
        <v>213</v>
      </c>
      <c r="D514" s="77"/>
      <c r="E514" s="78" t="s">
        <v>6</v>
      </c>
      <c r="F514" s="77" t="s">
        <v>144</v>
      </c>
      <c r="G514" s="79" t="s">
        <v>160</v>
      </c>
      <c r="H514" s="78"/>
      <c r="I514" s="78"/>
      <c r="J514" s="78" t="s">
        <v>212</v>
      </c>
      <c r="K514" s="88" t="s">
        <v>42</v>
      </c>
      <c r="L514" s="82" t="str">
        <f>IFERROR(VLOOKUP($B514,[1]Sheet2!$A:$L,11,FALSE()),"")</f>
        <v/>
      </c>
      <c r="M514" s="90">
        <v>46021</v>
      </c>
      <c r="N514" s="78" t="s">
        <v>133</v>
      </c>
      <c r="O514" s="78" t="s">
        <v>88</v>
      </c>
      <c r="P514" s="78"/>
      <c r="Q514" s="78" t="str">
        <f>IFERROR(VLOOKUP($B514,[1]Sheet2!$A:$L,12,FALSE()),"")</f>
        <v/>
      </c>
      <c r="R514" s="85">
        <f t="shared" ref="R514:R578" ca="1" si="16">IF(ISNUMBER(M514),INT(M514)-INT(TODAY()),"")</f>
        <v>-226</v>
      </c>
      <c r="S514" s="86" t="str">
        <f t="shared" ref="S514:S577" ca="1" si="17">IF(R514="","—",IF(R514&lt;0,"EXPIRED",IF(R514&lt;=30,"⚠ EXPIRES SOON",IF(R514&lt;=90,"⚡ 90 Days","✓ OK"))))</f>
        <v>EXPIRED</v>
      </c>
    </row>
    <row r="515" spans="1:19" ht="15.75" customHeight="1">
      <c r="A515" s="75">
        <v>524</v>
      </c>
      <c r="B515" s="76" t="s">
        <v>211</v>
      </c>
      <c r="C515" s="77" t="s">
        <v>210</v>
      </c>
      <c r="D515" s="77"/>
      <c r="E515" s="78" t="s">
        <v>6</v>
      </c>
      <c r="F515" s="77" t="s">
        <v>144</v>
      </c>
      <c r="G515" s="79"/>
      <c r="H515" s="78"/>
      <c r="I515" s="78"/>
      <c r="J515" s="78" t="s">
        <v>45</v>
      </c>
      <c r="K515" s="81" t="s">
        <v>2</v>
      </c>
      <c r="L515" s="82">
        <f>IFERROR(VLOOKUP($B515,[1]Sheet2!$A:$L,11,FALSE()),"")</f>
        <v>45996</v>
      </c>
      <c r="M515" s="83">
        <v>46386</v>
      </c>
      <c r="N515" s="84">
        <v>46386</v>
      </c>
      <c r="O515" s="78" t="s">
        <v>88</v>
      </c>
      <c r="P515" s="78"/>
      <c r="Q515" s="78" t="str">
        <f>IFERROR(VLOOKUP($B515,[1]Sheet2!$A:$L,12,FALSE()),"")</f>
        <v>Dubai</v>
      </c>
      <c r="R515" s="85">
        <f t="shared" ca="1" si="16"/>
        <v>139</v>
      </c>
      <c r="S515" s="86" t="str">
        <f t="shared" ca="1" si="17"/>
        <v>✓ OK</v>
      </c>
    </row>
    <row r="516" spans="1:19" ht="15.75" customHeight="1">
      <c r="A516" s="75">
        <v>525</v>
      </c>
      <c r="B516" s="76" t="s">
        <v>209</v>
      </c>
      <c r="C516" s="77" t="s">
        <v>208</v>
      </c>
      <c r="D516" s="77" t="s">
        <v>188</v>
      </c>
      <c r="E516" s="78" t="s">
        <v>6</v>
      </c>
      <c r="F516" s="77" t="s">
        <v>144</v>
      </c>
      <c r="G516" s="79" t="s">
        <v>160</v>
      </c>
      <c r="H516" s="78"/>
      <c r="I516" s="78"/>
      <c r="J516" s="78" t="s">
        <v>207</v>
      </c>
      <c r="K516" s="81" t="s">
        <v>2</v>
      </c>
      <c r="L516" s="82">
        <f>IFERROR(VLOOKUP($B516,[1]Sheet2!$A:$L,11,FALSE()),"")</f>
        <v>45998</v>
      </c>
      <c r="M516" s="83">
        <v>46386</v>
      </c>
      <c r="N516" s="84">
        <v>46386</v>
      </c>
      <c r="O516" s="78" t="s">
        <v>88</v>
      </c>
      <c r="P516" s="78"/>
      <c r="Q516" s="78" t="str">
        <f>IFERROR(VLOOKUP($B516,[1]Sheet2!$A:$L,12,FALSE()),"")</f>
        <v>Dubai</v>
      </c>
      <c r="R516" s="85">
        <f t="shared" ca="1" si="16"/>
        <v>139</v>
      </c>
      <c r="S516" s="86" t="str">
        <f t="shared" ca="1" si="17"/>
        <v>✓ OK</v>
      </c>
    </row>
    <row r="517" spans="1:19" ht="15.75" customHeight="1">
      <c r="A517" s="75">
        <v>526</v>
      </c>
      <c r="B517" s="76" t="s">
        <v>206</v>
      </c>
      <c r="C517" s="77" t="s">
        <v>205</v>
      </c>
      <c r="D517" s="77" t="s">
        <v>188</v>
      </c>
      <c r="E517" s="78" t="s">
        <v>6</v>
      </c>
      <c r="F517" s="77" t="s">
        <v>144</v>
      </c>
      <c r="G517" s="79" t="s">
        <v>160</v>
      </c>
      <c r="H517" s="78"/>
      <c r="I517" s="78"/>
      <c r="J517" s="103" t="s">
        <v>204</v>
      </c>
      <c r="K517" s="81" t="s">
        <v>2</v>
      </c>
      <c r="L517" s="82">
        <f>IFERROR(VLOOKUP($B517,[1]Sheet2!$A:$L,11,FALSE()),"")</f>
        <v>45994</v>
      </c>
      <c r="M517" s="83">
        <v>46386</v>
      </c>
      <c r="N517" s="84">
        <v>46386</v>
      </c>
      <c r="O517" s="78" t="s">
        <v>88</v>
      </c>
      <c r="P517" s="78"/>
      <c r="Q517" s="78" t="str">
        <f>IFERROR(VLOOKUP($B517,[1]Sheet2!$A:$L,12,FALSE()),"")</f>
        <v>Dubai</v>
      </c>
      <c r="R517" s="85">
        <f t="shared" ca="1" si="16"/>
        <v>139</v>
      </c>
      <c r="S517" s="86" t="str">
        <f t="shared" ca="1" si="17"/>
        <v>✓ OK</v>
      </c>
    </row>
    <row r="518" spans="1:19" ht="15.75" customHeight="1">
      <c r="A518" s="75">
        <v>527</v>
      </c>
      <c r="B518" s="76" t="s">
        <v>203</v>
      </c>
      <c r="C518" s="77" t="s">
        <v>202</v>
      </c>
      <c r="D518" s="77" t="s">
        <v>188</v>
      </c>
      <c r="E518" s="78" t="s">
        <v>6</v>
      </c>
      <c r="F518" s="77" t="s">
        <v>144</v>
      </c>
      <c r="G518" s="79" t="s">
        <v>160</v>
      </c>
      <c r="H518" s="78"/>
      <c r="I518" s="78"/>
      <c r="J518" s="103" t="s">
        <v>201</v>
      </c>
      <c r="K518" s="81" t="s">
        <v>2</v>
      </c>
      <c r="L518" s="82">
        <f>IFERROR(VLOOKUP($B518,[1]Sheet2!$A:$L,11,FALSE()),"")</f>
        <v>45995</v>
      </c>
      <c r="M518" s="83">
        <v>46386</v>
      </c>
      <c r="N518" s="84">
        <v>46386</v>
      </c>
      <c r="O518" s="78" t="s">
        <v>88</v>
      </c>
      <c r="P518" s="78"/>
      <c r="Q518" s="78" t="str">
        <f>IFERROR(VLOOKUP($B518,[1]Sheet2!$A:$L,12,FALSE()),"")</f>
        <v>Dubai</v>
      </c>
      <c r="R518" s="85">
        <f t="shared" ca="1" si="16"/>
        <v>139</v>
      </c>
      <c r="S518" s="86" t="str">
        <f t="shared" ca="1" si="17"/>
        <v>✓ OK</v>
      </c>
    </row>
    <row r="519" spans="1:19" ht="15.75" customHeight="1">
      <c r="A519" s="75">
        <v>528</v>
      </c>
      <c r="B519" s="76" t="s">
        <v>200</v>
      </c>
      <c r="C519" s="77" t="s">
        <v>199</v>
      </c>
      <c r="D519" s="77" t="s">
        <v>188</v>
      </c>
      <c r="E519" s="78" t="s">
        <v>6</v>
      </c>
      <c r="F519" s="77" t="s">
        <v>144</v>
      </c>
      <c r="G519" s="79" t="s">
        <v>160</v>
      </c>
      <c r="H519" s="78"/>
      <c r="I519" s="78"/>
      <c r="J519" s="78" t="s">
        <v>198</v>
      </c>
      <c r="K519" s="81" t="s">
        <v>2</v>
      </c>
      <c r="L519" s="82">
        <f>IFERROR(VLOOKUP($B519,[1]Sheet2!$A:$L,11,FALSE()),"")</f>
        <v>45995</v>
      </c>
      <c r="M519" s="83">
        <v>46386</v>
      </c>
      <c r="N519" s="84">
        <v>46386</v>
      </c>
      <c r="O519" s="78" t="s">
        <v>88</v>
      </c>
      <c r="P519" s="78"/>
      <c r="Q519" s="78" t="str">
        <f>IFERROR(VLOOKUP($B519,[1]Sheet2!$A:$L,12,FALSE()),"")</f>
        <v>Dubai</v>
      </c>
      <c r="R519" s="85">
        <f t="shared" ca="1" si="16"/>
        <v>139</v>
      </c>
      <c r="S519" s="86" t="str">
        <f t="shared" ca="1" si="17"/>
        <v>✓ OK</v>
      </c>
    </row>
    <row r="520" spans="1:19" ht="15.75" customHeight="1">
      <c r="A520" s="75">
        <v>529</v>
      </c>
      <c r="B520" s="76" t="s">
        <v>197</v>
      </c>
      <c r="C520" s="77" t="s">
        <v>196</v>
      </c>
      <c r="D520" s="77" t="s">
        <v>188</v>
      </c>
      <c r="E520" s="78" t="s">
        <v>6</v>
      </c>
      <c r="F520" s="77" t="s">
        <v>144</v>
      </c>
      <c r="G520" s="79" t="s">
        <v>195</v>
      </c>
      <c r="H520" s="78"/>
      <c r="I520" s="78"/>
      <c r="J520" s="78" t="s">
        <v>194</v>
      </c>
      <c r="K520" s="81" t="s">
        <v>2</v>
      </c>
      <c r="L520" s="82">
        <f>IFERROR(VLOOKUP($B520,[1]Sheet2!$A:$L,11,FALSE()),"")</f>
        <v>45995</v>
      </c>
      <c r="M520" s="83">
        <v>46386</v>
      </c>
      <c r="N520" s="84">
        <v>46386</v>
      </c>
      <c r="O520" s="78" t="s">
        <v>88</v>
      </c>
      <c r="P520" s="78"/>
      <c r="Q520" s="78" t="str">
        <f>IFERROR(VLOOKUP($B520,[1]Sheet2!$A:$L,12,FALSE()),"")</f>
        <v>Dubai</v>
      </c>
      <c r="R520" s="85">
        <f t="shared" ca="1" si="16"/>
        <v>139</v>
      </c>
      <c r="S520" s="86" t="str">
        <f t="shared" ca="1" si="17"/>
        <v>✓ OK</v>
      </c>
    </row>
    <row r="521" spans="1:19" ht="15.75" customHeight="1">
      <c r="A521" s="75">
        <v>530</v>
      </c>
      <c r="B521" s="76" t="s">
        <v>193</v>
      </c>
      <c r="C521" s="77" t="s">
        <v>192</v>
      </c>
      <c r="D521" s="77" t="s">
        <v>188</v>
      </c>
      <c r="E521" s="78" t="s">
        <v>6</v>
      </c>
      <c r="F521" s="77" t="s">
        <v>144</v>
      </c>
      <c r="G521" s="79" t="s">
        <v>143</v>
      </c>
      <c r="H521" s="78"/>
      <c r="I521" s="78"/>
      <c r="J521" s="78" t="s">
        <v>191</v>
      </c>
      <c r="K521" s="88" t="s">
        <v>42</v>
      </c>
      <c r="L521" s="82" t="str">
        <f>IFERROR(VLOOKUP($B521,[1]Sheet2!$A:$L,11,FALSE()),"")</f>
        <v/>
      </c>
      <c r="M521" s="90">
        <v>46021</v>
      </c>
      <c r="N521" s="78" t="s">
        <v>133</v>
      </c>
      <c r="O521" s="78" t="s">
        <v>88</v>
      </c>
      <c r="P521" s="78"/>
      <c r="Q521" s="78" t="str">
        <f>IFERROR(VLOOKUP($B521,[1]Sheet2!$A:$L,12,FALSE()),"")</f>
        <v/>
      </c>
      <c r="R521" s="85">
        <f t="shared" ca="1" si="16"/>
        <v>-226</v>
      </c>
      <c r="S521" s="86" t="str">
        <f t="shared" ca="1" si="17"/>
        <v>EXPIRED</v>
      </c>
    </row>
    <row r="522" spans="1:19" ht="15.75" customHeight="1">
      <c r="A522" s="75">
        <v>531</v>
      </c>
      <c r="B522" s="76" t="s">
        <v>190</v>
      </c>
      <c r="C522" s="77" t="s">
        <v>189</v>
      </c>
      <c r="D522" s="77" t="s">
        <v>188</v>
      </c>
      <c r="E522" s="78" t="s">
        <v>6</v>
      </c>
      <c r="F522" s="77" t="s">
        <v>47</v>
      </c>
      <c r="G522" s="79" t="s">
        <v>135</v>
      </c>
      <c r="H522" s="78"/>
      <c r="I522" s="78"/>
      <c r="J522" s="78" t="s">
        <v>187</v>
      </c>
      <c r="K522" s="81" t="s">
        <v>2</v>
      </c>
      <c r="L522" s="82">
        <f>IFERROR(VLOOKUP($B522,[1]Sheet2!$A:$L,11,FALSE()),"")</f>
        <v>45995</v>
      </c>
      <c r="M522" s="83">
        <v>46386</v>
      </c>
      <c r="N522" s="84">
        <v>46386</v>
      </c>
      <c r="O522" s="78" t="s">
        <v>88</v>
      </c>
      <c r="P522" s="78"/>
      <c r="Q522" s="78" t="str">
        <f>IFERROR(VLOOKUP($B522,[1]Sheet2!$A:$L,12,FALSE()),"")</f>
        <v>Dubai</v>
      </c>
      <c r="R522" s="85">
        <f t="shared" ca="1" si="16"/>
        <v>139</v>
      </c>
      <c r="S522" s="86" t="str">
        <f t="shared" ca="1" si="17"/>
        <v>✓ OK</v>
      </c>
    </row>
    <row r="523" spans="1:19" ht="15.75" customHeight="1">
      <c r="A523" s="75">
        <v>532</v>
      </c>
      <c r="B523" s="76" t="s">
        <v>186</v>
      </c>
      <c r="C523" s="77" t="s">
        <v>185</v>
      </c>
      <c r="D523" s="77"/>
      <c r="E523" s="78" t="s">
        <v>6</v>
      </c>
      <c r="F523" s="77" t="s">
        <v>112</v>
      </c>
      <c r="G523" s="79" t="s">
        <v>111</v>
      </c>
      <c r="H523" s="78" t="s">
        <v>184</v>
      </c>
      <c r="I523" s="78" t="s">
        <v>183</v>
      </c>
      <c r="J523" s="78" t="s">
        <v>182</v>
      </c>
      <c r="K523" s="88" t="s">
        <v>42</v>
      </c>
      <c r="L523" s="82" t="str">
        <f>IFERROR(VLOOKUP($B523,[1]Sheet2!$A:$L,11,FALSE()),"")</f>
        <v/>
      </c>
      <c r="M523" s="90">
        <v>46156</v>
      </c>
      <c r="N523" s="78" t="s">
        <v>133</v>
      </c>
      <c r="O523" s="78" t="s">
        <v>181</v>
      </c>
      <c r="P523" s="78"/>
      <c r="Q523" s="78" t="str">
        <f>IFERROR(VLOOKUP($B523,[1]Sheet2!$A:$L,12,FALSE()),"")</f>
        <v/>
      </c>
      <c r="R523" s="85">
        <f t="shared" ca="1" si="16"/>
        <v>-91</v>
      </c>
      <c r="S523" s="86" t="str">
        <f t="shared" ca="1" si="17"/>
        <v>EXPIRED</v>
      </c>
    </row>
    <row r="524" spans="1:19" ht="15.75" customHeight="1">
      <c r="A524" s="75">
        <v>533</v>
      </c>
      <c r="B524" s="76" t="s">
        <v>180</v>
      </c>
      <c r="C524" s="77" t="s">
        <v>179</v>
      </c>
      <c r="D524" s="77" t="s">
        <v>164</v>
      </c>
      <c r="E524" s="78" t="s">
        <v>6</v>
      </c>
      <c r="F524" s="77" t="s">
        <v>144</v>
      </c>
      <c r="G524" s="79" t="s">
        <v>160</v>
      </c>
      <c r="H524" s="78"/>
      <c r="I524" s="78"/>
      <c r="J524" s="78" t="s">
        <v>178</v>
      </c>
      <c r="K524" s="81" t="s">
        <v>2</v>
      </c>
      <c r="L524" s="82">
        <f>IFERROR(VLOOKUP($B524,[1]Sheet2!$A:$L,11,FALSE()),"")</f>
        <v>45994</v>
      </c>
      <c r="M524" s="83">
        <v>46751</v>
      </c>
      <c r="N524" s="84">
        <v>46751</v>
      </c>
      <c r="O524" s="78" t="s">
        <v>88</v>
      </c>
      <c r="P524" s="78"/>
      <c r="Q524" s="78" t="str">
        <f>IFERROR(VLOOKUP($B524,[1]Sheet2!$A:$L,12,FALSE()),"")</f>
        <v>Dubai</v>
      </c>
      <c r="R524" s="85">
        <f t="shared" ca="1" si="16"/>
        <v>504</v>
      </c>
      <c r="S524" s="86" t="str">
        <f t="shared" ca="1" si="17"/>
        <v>✓ OK</v>
      </c>
    </row>
    <row r="525" spans="1:19" ht="15.75" customHeight="1">
      <c r="A525" s="75">
        <v>534</v>
      </c>
      <c r="B525" s="76" t="s">
        <v>177</v>
      </c>
      <c r="C525" s="77" t="s">
        <v>176</v>
      </c>
      <c r="D525" s="77" t="s">
        <v>164</v>
      </c>
      <c r="E525" s="78" t="s">
        <v>6</v>
      </c>
      <c r="F525" s="77" t="s">
        <v>144</v>
      </c>
      <c r="G525" s="79" t="s">
        <v>160</v>
      </c>
      <c r="H525" s="78"/>
      <c r="I525" s="78"/>
      <c r="J525" s="78" t="s">
        <v>167</v>
      </c>
      <c r="K525" s="81" t="s">
        <v>2</v>
      </c>
      <c r="L525" s="82">
        <f>IFERROR(VLOOKUP($B525,[1]Sheet2!$A:$L,11,FALSE()),"")</f>
        <v>46056</v>
      </c>
      <c r="M525" s="83">
        <v>46751</v>
      </c>
      <c r="N525" s="84">
        <v>46751</v>
      </c>
      <c r="O525" s="78" t="s">
        <v>88</v>
      </c>
      <c r="P525" s="78"/>
      <c r="Q525" s="78" t="str">
        <f>IFERROR(VLOOKUP($B525,[1]Sheet2!$A:$L,12,FALSE()),"")</f>
        <v>Dubai</v>
      </c>
      <c r="R525" s="85">
        <f t="shared" ca="1" si="16"/>
        <v>504</v>
      </c>
      <c r="S525" s="86" t="str">
        <f t="shared" ca="1" si="17"/>
        <v>✓ OK</v>
      </c>
    </row>
    <row r="526" spans="1:19" ht="15.75" customHeight="1">
      <c r="A526" s="75">
        <v>535</v>
      </c>
      <c r="B526" s="76" t="s">
        <v>175</v>
      </c>
      <c r="C526" s="77" t="s">
        <v>174</v>
      </c>
      <c r="D526" s="77" t="s">
        <v>164</v>
      </c>
      <c r="E526" s="78" t="s">
        <v>6</v>
      </c>
      <c r="F526" s="77" t="s">
        <v>144</v>
      </c>
      <c r="G526" s="79" t="s">
        <v>160</v>
      </c>
      <c r="H526" s="78"/>
      <c r="I526" s="78"/>
      <c r="J526" s="78" t="s">
        <v>167</v>
      </c>
      <c r="K526" s="81" t="s">
        <v>2</v>
      </c>
      <c r="L526" s="82">
        <f>IFERROR(VLOOKUP($B526,[1]Sheet2!$A:$L,11,FALSE()),"")</f>
        <v>46056</v>
      </c>
      <c r="M526" s="83">
        <v>46751</v>
      </c>
      <c r="N526" s="84">
        <v>46751</v>
      </c>
      <c r="O526" s="78" t="s">
        <v>88</v>
      </c>
      <c r="P526" s="78"/>
      <c r="Q526" s="78" t="str">
        <f>IFERROR(VLOOKUP($B526,[1]Sheet2!$A:$L,12,FALSE()),"")</f>
        <v>Dubai</v>
      </c>
      <c r="R526" s="85">
        <f t="shared" ca="1" si="16"/>
        <v>504</v>
      </c>
      <c r="S526" s="86" t="str">
        <f t="shared" ca="1" si="17"/>
        <v>✓ OK</v>
      </c>
    </row>
    <row r="527" spans="1:19" ht="15.75" customHeight="1">
      <c r="A527" s="75">
        <v>536</v>
      </c>
      <c r="B527" s="76" t="s">
        <v>173</v>
      </c>
      <c r="C527" s="77" t="s">
        <v>172</v>
      </c>
      <c r="D527" s="77" t="s">
        <v>164</v>
      </c>
      <c r="E527" s="78" t="s">
        <v>6</v>
      </c>
      <c r="F527" s="77" t="s">
        <v>144</v>
      </c>
      <c r="G527" s="79" t="s">
        <v>160</v>
      </c>
      <c r="H527" s="78"/>
      <c r="I527" s="78"/>
      <c r="J527" s="78" t="s">
        <v>167</v>
      </c>
      <c r="K527" s="81" t="s">
        <v>2</v>
      </c>
      <c r="L527" s="82">
        <f>IFERROR(VLOOKUP($B527,[1]Sheet2!$A:$L,11,FALSE()),"")</f>
        <v>46056</v>
      </c>
      <c r="M527" s="83">
        <v>46751</v>
      </c>
      <c r="N527" s="84">
        <v>46751</v>
      </c>
      <c r="O527" s="78" t="s">
        <v>88</v>
      </c>
      <c r="P527" s="78"/>
      <c r="Q527" s="78" t="str">
        <f>IFERROR(VLOOKUP($B527,[1]Sheet2!$A:$L,12,FALSE()),"")</f>
        <v>Dubai</v>
      </c>
      <c r="R527" s="85">
        <f t="shared" ca="1" si="16"/>
        <v>504</v>
      </c>
      <c r="S527" s="86" t="str">
        <f t="shared" ca="1" si="17"/>
        <v>✓ OK</v>
      </c>
    </row>
    <row r="528" spans="1:19" ht="15.75" customHeight="1">
      <c r="A528" s="75">
        <v>537</v>
      </c>
      <c r="B528" s="76" t="s">
        <v>171</v>
      </c>
      <c r="C528" s="77" t="s">
        <v>170</v>
      </c>
      <c r="D528" s="77" t="s">
        <v>164</v>
      </c>
      <c r="E528" s="78" t="s">
        <v>6</v>
      </c>
      <c r="F528" s="77" t="s">
        <v>144</v>
      </c>
      <c r="G528" s="79" t="s">
        <v>160</v>
      </c>
      <c r="H528" s="78"/>
      <c r="I528" s="78"/>
      <c r="J528" s="78" t="s">
        <v>167</v>
      </c>
      <c r="K528" s="81" t="s">
        <v>2</v>
      </c>
      <c r="L528" s="82">
        <f>IFERROR(VLOOKUP($B528,[1]Sheet2!$A:$L,11,FALSE()),"")</f>
        <v>46056</v>
      </c>
      <c r="M528" s="83">
        <v>46751</v>
      </c>
      <c r="N528" s="84">
        <v>46751</v>
      </c>
      <c r="O528" s="78" t="s">
        <v>88</v>
      </c>
      <c r="P528" s="78"/>
      <c r="Q528" s="78" t="str">
        <f>IFERROR(VLOOKUP($B528,[1]Sheet2!$A:$L,12,FALSE()),"")</f>
        <v>Dubai</v>
      </c>
      <c r="R528" s="85">
        <f t="shared" ca="1" si="16"/>
        <v>504</v>
      </c>
      <c r="S528" s="86" t="str">
        <f t="shared" ca="1" si="17"/>
        <v>✓ OK</v>
      </c>
    </row>
    <row r="529" spans="1:19" ht="15.75" customHeight="1">
      <c r="A529" s="75">
        <v>538</v>
      </c>
      <c r="B529" s="76" t="s">
        <v>169</v>
      </c>
      <c r="C529" s="77" t="s">
        <v>168</v>
      </c>
      <c r="D529" s="77" t="s">
        <v>164</v>
      </c>
      <c r="E529" s="78" t="s">
        <v>6</v>
      </c>
      <c r="F529" s="77" t="s">
        <v>144</v>
      </c>
      <c r="G529" s="79" t="s">
        <v>160</v>
      </c>
      <c r="H529" s="78"/>
      <c r="I529" s="78"/>
      <c r="J529" s="78" t="s">
        <v>167</v>
      </c>
      <c r="K529" s="81" t="s">
        <v>2</v>
      </c>
      <c r="L529" s="82">
        <f>IFERROR(VLOOKUP($B529,[1]Sheet2!$A:$L,11,FALSE()),"")</f>
        <v>46070</v>
      </c>
      <c r="M529" s="83">
        <v>46751</v>
      </c>
      <c r="N529" s="84">
        <v>46751</v>
      </c>
      <c r="O529" s="78" t="s">
        <v>88</v>
      </c>
      <c r="P529" s="78"/>
      <c r="Q529" s="78" t="str">
        <f>IFERROR(VLOOKUP($B529,[1]Sheet2!$A:$L,12,FALSE()),"")</f>
        <v>Dubai</v>
      </c>
      <c r="R529" s="85">
        <f t="shared" ca="1" si="16"/>
        <v>504</v>
      </c>
      <c r="S529" s="86" t="str">
        <f t="shared" ca="1" si="17"/>
        <v>✓ OK</v>
      </c>
    </row>
    <row r="530" spans="1:19" ht="15.75" customHeight="1">
      <c r="A530" s="75">
        <v>539</v>
      </c>
      <c r="B530" s="76" t="s">
        <v>166</v>
      </c>
      <c r="C530" s="77" t="s">
        <v>165</v>
      </c>
      <c r="D530" s="77" t="s">
        <v>164</v>
      </c>
      <c r="E530" s="78" t="s">
        <v>6</v>
      </c>
      <c r="F530" s="77" t="s">
        <v>144</v>
      </c>
      <c r="G530" s="79" t="s">
        <v>160</v>
      </c>
      <c r="H530" s="78"/>
      <c r="I530" s="78"/>
      <c r="J530" s="78" t="s">
        <v>99</v>
      </c>
      <c r="K530" s="81" t="s">
        <v>2</v>
      </c>
      <c r="L530" s="82">
        <f>IFERROR(VLOOKUP($B530,[1]Sheet2!$A:$L,11,FALSE()),"")</f>
        <v>46056</v>
      </c>
      <c r="M530" s="83">
        <v>46751</v>
      </c>
      <c r="N530" s="84">
        <v>46751</v>
      </c>
      <c r="O530" s="78" t="s">
        <v>88</v>
      </c>
      <c r="P530" s="78"/>
      <c r="Q530" s="78" t="str">
        <f>IFERROR(VLOOKUP($B530,[1]Sheet2!$A:$L,12,FALSE()),"")</f>
        <v>Dubai</v>
      </c>
      <c r="R530" s="85">
        <f t="shared" ca="1" si="16"/>
        <v>504</v>
      </c>
      <c r="S530" s="86" t="str">
        <f t="shared" ca="1" si="17"/>
        <v>✓ OK</v>
      </c>
    </row>
    <row r="531" spans="1:19" ht="15.75" customHeight="1">
      <c r="A531" s="75">
        <v>540</v>
      </c>
      <c r="B531" s="76" t="s">
        <v>163</v>
      </c>
      <c r="C531" s="77" t="s">
        <v>162</v>
      </c>
      <c r="D531" s="77" t="s">
        <v>161</v>
      </c>
      <c r="E531" s="78" t="s">
        <v>6</v>
      </c>
      <c r="F531" s="77" t="s">
        <v>144</v>
      </c>
      <c r="G531" s="79" t="s">
        <v>160</v>
      </c>
      <c r="H531" s="78"/>
      <c r="I531" s="78"/>
      <c r="J531" s="78" t="s">
        <v>3</v>
      </c>
      <c r="K531" s="81" t="s">
        <v>2</v>
      </c>
      <c r="L531" s="82">
        <f>IFERROR(VLOOKUP($B531,[1]Sheet2!$A:$L,11,FALSE()),"")</f>
        <v>46141</v>
      </c>
      <c r="M531" s="83">
        <v>46386</v>
      </c>
      <c r="N531" s="84">
        <v>46386</v>
      </c>
      <c r="O531" s="78" t="s">
        <v>88</v>
      </c>
      <c r="P531" s="78"/>
      <c r="Q531" s="78" t="str">
        <f>IFERROR(VLOOKUP($B531,[1]Sheet2!$A:$L,12,FALSE()),"")</f>
        <v>Dubai</v>
      </c>
      <c r="R531" s="85">
        <f t="shared" ca="1" si="16"/>
        <v>139</v>
      </c>
      <c r="S531" s="86" t="str">
        <f t="shared" ca="1" si="17"/>
        <v>✓ OK</v>
      </c>
    </row>
    <row r="532" spans="1:19" ht="15.75" customHeight="1">
      <c r="A532" s="63"/>
      <c r="B532" s="65" t="s">
        <v>159</v>
      </c>
      <c r="C532" s="13" t="s">
        <v>158</v>
      </c>
      <c r="D532" s="13" t="s">
        <v>153</v>
      </c>
      <c r="E532" s="7" t="s">
        <v>6</v>
      </c>
      <c r="F532" s="21" t="s">
        <v>144</v>
      </c>
      <c r="G532" s="20" t="s">
        <v>143</v>
      </c>
      <c r="H532" s="11"/>
      <c r="I532" s="11"/>
      <c r="J532" s="7" t="s">
        <v>152</v>
      </c>
      <c r="K532" s="10" t="s">
        <v>2</v>
      </c>
      <c r="L532" s="19" t="s">
        <v>151</v>
      </c>
      <c r="M532" s="18">
        <v>46386</v>
      </c>
      <c r="N532" s="8">
        <v>46386</v>
      </c>
      <c r="O532" s="7" t="s">
        <v>88</v>
      </c>
      <c r="P532" s="7"/>
      <c r="Q532" s="7" t="s">
        <v>57</v>
      </c>
      <c r="R532" s="17">
        <f t="shared" ca="1" si="16"/>
        <v>139</v>
      </c>
      <c r="S532" s="16" t="str">
        <f t="shared" ca="1" si="17"/>
        <v>✓ OK</v>
      </c>
    </row>
    <row r="533" spans="1:19" ht="15.75" customHeight="1">
      <c r="A533" s="63"/>
      <c r="B533" s="65" t="s">
        <v>157</v>
      </c>
      <c r="C533" s="13" t="s">
        <v>156</v>
      </c>
      <c r="D533" s="13" t="s">
        <v>153</v>
      </c>
      <c r="E533" s="7" t="s">
        <v>6</v>
      </c>
      <c r="F533" s="21" t="s">
        <v>144</v>
      </c>
      <c r="G533" s="20" t="s">
        <v>143</v>
      </c>
      <c r="H533" s="11"/>
      <c r="I533" s="11"/>
      <c r="J533" s="7" t="s">
        <v>152</v>
      </c>
      <c r="K533" s="10" t="s">
        <v>2</v>
      </c>
      <c r="L533" s="19" t="s">
        <v>151</v>
      </c>
      <c r="M533" s="18">
        <v>46386</v>
      </c>
      <c r="N533" s="8">
        <v>46386</v>
      </c>
      <c r="O533" s="7" t="s">
        <v>88</v>
      </c>
      <c r="P533" s="7"/>
      <c r="Q533" s="7" t="s">
        <v>57</v>
      </c>
      <c r="R533" s="17">
        <f t="shared" ca="1" si="16"/>
        <v>139</v>
      </c>
      <c r="S533" s="16" t="str">
        <f t="shared" ca="1" si="17"/>
        <v>✓ OK</v>
      </c>
    </row>
    <row r="534" spans="1:19" ht="15.75" customHeight="1">
      <c r="A534" s="63">
        <v>541</v>
      </c>
      <c r="B534" s="56" t="s">
        <v>155</v>
      </c>
      <c r="C534" s="21" t="s">
        <v>154</v>
      </c>
      <c r="D534" s="13" t="s">
        <v>153</v>
      </c>
      <c r="E534" s="7" t="s">
        <v>6</v>
      </c>
      <c r="F534" s="21" t="s">
        <v>144</v>
      </c>
      <c r="G534" s="20" t="s">
        <v>143</v>
      </c>
      <c r="H534" s="7"/>
      <c r="I534" s="7"/>
      <c r="J534" s="7" t="s">
        <v>152</v>
      </c>
      <c r="K534" s="10" t="s">
        <v>2</v>
      </c>
      <c r="L534" s="19" t="s">
        <v>151</v>
      </c>
      <c r="M534" s="18">
        <v>46386</v>
      </c>
      <c r="N534" s="8">
        <v>46386</v>
      </c>
      <c r="O534" s="7" t="s">
        <v>88</v>
      </c>
      <c r="P534" s="7"/>
      <c r="Q534" s="7" t="s">
        <v>57</v>
      </c>
      <c r="R534" s="17">
        <f t="shared" ca="1" si="16"/>
        <v>139</v>
      </c>
      <c r="S534" s="16" t="str">
        <f t="shared" ca="1" si="17"/>
        <v>✓ OK</v>
      </c>
    </row>
    <row r="535" spans="1:19" ht="15.75" customHeight="1">
      <c r="A535" s="63">
        <v>542</v>
      </c>
      <c r="B535" s="65" t="s">
        <v>150</v>
      </c>
      <c r="C535" s="13" t="s">
        <v>149</v>
      </c>
      <c r="D535" s="13"/>
      <c r="E535" s="11" t="s">
        <v>6</v>
      </c>
      <c r="F535" s="21" t="s">
        <v>144</v>
      </c>
      <c r="G535" s="12" t="s">
        <v>143</v>
      </c>
      <c r="H535" s="11"/>
      <c r="I535" s="11"/>
      <c r="J535" s="11" t="s">
        <v>148</v>
      </c>
      <c r="K535" s="64" t="s">
        <v>2</v>
      </c>
      <c r="L535" s="23">
        <f>IFERROR(VLOOKUP($B535,[1]Sheet2!$A:$L,11,FALSE()),"")</f>
        <v>46183</v>
      </c>
      <c r="M535" s="9">
        <v>46386</v>
      </c>
      <c r="N535" s="22">
        <v>46386</v>
      </c>
      <c r="O535" s="7" t="s">
        <v>88</v>
      </c>
      <c r="P535" s="7"/>
      <c r="Q535" s="7" t="str">
        <f>IFERROR(VLOOKUP($B535,[1]Sheet2!$A:$L,12,FALSE()),"")</f>
        <v>Dubai</v>
      </c>
      <c r="R535" s="17">
        <f t="shared" ca="1" si="16"/>
        <v>139</v>
      </c>
      <c r="S535" s="16" t="str">
        <f t="shared" ca="1" si="17"/>
        <v>✓ OK</v>
      </c>
    </row>
    <row r="536" spans="1:19" ht="15.75" customHeight="1">
      <c r="A536" s="63">
        <v>543</v>
      </c>
      <c r="B536" s="56" t="s">
        <v>147</v>
      </c>
      <c r="C536" s="21" t="s">
        <v>146</v>
      </c>
      <c r="D536" s="62" t="s">
        <v>145</v>
      </c>
      <c r="E536" s="7" t="s">
        <v>6</v>
      </c>
      <c r="F536" s="21" t="s">
        <v>144</v>
      </c>
      <c r="G536" s="61" t="s">
        <v>143</v>
      </c>
      <c r="H536" s="60" t="s">
        <v>142</v>
      </c>
      <c r="I536" s="60" t="s">
        <v>142</v>
      </c>
      <c r="J536" s="7" t="s">
        <v>141</v>
      </c>
      <c r="K536" s="10" t="s">
        <v>2</v>
      </c>
      <c r="L536" s="19">
        <f>IFERROR(VLOOKUP($B536,[1]Sheet2!$A:$L,11,FALSE()),"")</f>
        <v>46164</v>
      </c>
      <c r="M536" s="18">
        <v>46386</v>
      </c>
      <c r="N536" s="59">
        <v>46386</v>
      </c>
      <c r="O536" s="7" t="s">
        <v>88</v>
      </c>
      <c r="P536" s="7"/>
      <c r="Q536" s="7" t="str">
        <f>IFERROR(VLOOKUP($B536,[1]Sheet2!$A:$L,12,FALSE()),"")</f>
        <v>Dubai</v>
      </c>
      <c r="R536" s="17">
        <f t="shared" ca="1" si="16"/>
        <v>139</v>
      </c>
      <c r="S536" s="16" t="str">
        <f t="shared" ca="1" si="17"/>
        <v>✓ OK</v>
      </c>
    </row>
    <row r="537" spans="1:19" ht="15" customHeight="1">
      <c r="A537" s="63">
        <v>544</v>
      </c>
      <c r="B537" s="56" t="s">
        <v>140</v>
      </c>
      <c r="C537" s="21" t="s">
        <v>101</v>
      </c>
      <c r="D537" s="62" t="s">
        <v>139</v>
      </c>
      <c r="E537" s="7" t="s">
        <v>6</v>
      </c>
      <c r="F537" s="21" t="s">
        <v>5</v>
      </c>
      <c r="G537" s="61" t="s">
        <v>138</v>
      </c>
      <c r="H537" s="60"/>
      <c r="I537" s="60"/>
      <c r="J537" s="7" t="s">
        <v>99</v>
      </c>
      <c r="K537" s="10" t="s">
        <v>2</v>
      </c>
      <c r="L537" s="19">
        <f>IFERROR(VLOOKUP($B537,[1]Sheet2!$A:$L,11,FALSE()),"")</f>
        <v>46181</v>
      </c>
      <c r="M537" s="18">
        <v>46386</v>
      </c>
      <c r="N537" s="59">
        <v>46386</v>
      </c>
      <c r="O537" s="7" t="s">
        <v>88</v>
      </c>
      <c r="P537" s="7"/>
      <c r="Q537" s="7" t="str">
        <f>IFERROR(VLOOKUP($B537,[1]Sheet2!$A:$L,12,FALSE()),"")</f>
        <v>Dubai</v>
      </c>
      <c r="R537" s="17">
        <f t="shared" ca="1" si="16"/>
        <v>139</v>
      </c>
      <c r="S537" s="16" t="str">
        <f t="shared" ca="1" si="17"/>
        <v>✓ OK</v>
      </c>
    </row>
    <row r="538" spans="1:19" ht="15" customHeight="1">
      <c r="A538" s="57">
        <v>545</v>
      </c>
      <c r="B538" s="56" t="s">
        <v>137</v>
      </c>
      <c r="C538" s="55" t="s">
        <v>136</v>
      </c>
      <c r="D538" s="55" t="s">
        <v>136</v>
      </c>
      <c r="E538" s="7" t="s">
        <v>6</v>
      </c>
      <c r="F538" s="21" t="s">
        <v>47</v>
      </c>
      <c r="G538" s="54" t="s">
        <v>135</v>
      </c>
      <c r="H538" s="6"/>
      <c r="I538" s="6"/>
      <c r="J538" s="6" t="s">
        <v>134</v>
      </c>
      <c r="K538" s="58" t="s">
        <v>42</v>
      </c>
      <c r="L538" s="53" t="str">
        <f>IFERROR(VLOOKUP($B538,[1]Sheet2!$A:$L,11,FALSE()),"")</f>
        <v/>
      </c>
      <c r="M538" s="34">
        <v>46021</v>
      </c>
      <c r="N538" s="6" t="s">
        <v>133</v>
      </c>
      <c r="O538" s="11" t="s">
        <v>132</v>
      </c>
      <c r="P538" s="7"/>
      <c r="Q538" s="7" t="str">
        <f>IFERROR(VLOOKUP($B538,[1]Sheet2!$A:$L,12,FALSE()),"")</f>
        <v/>
      </c>
      <c r="R538" s="17">
        <f t="shared" ca="1" si="16"/>
        <v>-226</v>
      </c>
      <c r="S538" s="16" t="str">
        <f t="shared" ca="1" si="17"/>
        <v>EXPIRED</v>
      </c>
    </row>
    <row r="539" spans="1:19" ht="15" customHeight="1">
      <c r="A539" s="57">
        <v>546</v>
      </c>
      <c r="B539" s="56" t="s">
        <v>131</v>
      </c>
      <c r="C539" s="55" t="s">
        <v>130</v>
      </c>
      <c r="D539" s="55" t="s">
        <v>130</v>
      </c>
      <c r="E539" s="7" t="s">
        <v>6</v>
      </c>
      <c r="F539" s="77" t="s">
        <v>53</v>
      </c>
      <c r="G539" s="54" t="s">
        <v>129</v>
      </c>
      <c r="H539" s="6"/>
      <c r="I539" s="6"/>
      <c r="J539" s="6" t="s">
        <v>45</v>
      </c>
      <c r="K539" s="10" t="s">
        <v>2</v>
      </c>
      <c r="L539" s="53">
        <f>IFERROR(VLOOKUP($B539,[1]Sheet2!$A:$L,11,FALSE()),"")</f>
        <v>46197</v>
      </c>
      <c r="M539" s="18">
        <v>46386</v>
      </c>
      <c r="N539" s="18">
        <v>46386</v>
      </c>
      <c r="O539" s="7" t="s">
        <v>88</v>
      </c>
      <c r="P539" s="7"/>
      <c r="Q539" s="7" t="str">
        <f>IFERROR(VLOOKUP($B539,[1]Sheet2!$A:$L,12,FALSE()),"")</f>
        <v>Dubai</v>
      </c>
      <c r="R539" s="17">
        <f t="shared" ca="1" si="16"/>
        <v>139</v>
      </c>
      <c r="S539" s="16" t="str">
        <f t="shared" ca="1" si="17"/>
        <v>✓ OK</v>
      </c>
    </row>
    <row r="540" spans="1:19">
      <c r="A540" s="15">
        <v>547</v>
      </c>
      <c r="B540" s="51" t="s">
        <v>128</v>
      </c>
      <c r="C540" s="48" t="s">
        <v>127</v>
      </c>
      <c r="D540" s="48" t="s">
        <v>122</v>
      </c>
      <c r="E540" s="37" t="s">
        <v>6</v>
      </c>
      <c r="F540" s="32" t="s">
        <v>112</v>
      </c>
      <c r="G540" s="50" t="s">
        <v>111</v>
      </c>
      <c r="H540" s="6"/>
      <c r="I540" s="6"/>
      <c r="J540" s="45" t="s">
        <v>110</v>
      </c>
      <c r="K540" s="45" t="s">
        <v>2</v>
      </c>
      <c r="L540" s="45" t="s">
        <v>116</v>
      </c>
      <c r="M540" s="46">
        <v>46577</v>
      </c>
      <c r="N540" s="18">
        <v>46386</v>
      </c>
      <c r="O540" s="7" t="s">
        <v>88</v>
      </c>
      <c r="P540" s="45" t="s">
        <v>0</v>
      </c>
      <c r="Q540" s="6"/>
      <c r="R540" s="17">
        <f t="shared" ca="1" si="16"/>
        <v>330</v>
      </c>
      <c r="S540" s="16" t="str">
        <f t="shared" ca="1" si="17"/>
        <v>✓ OK</v>
      </c>
    </row>
    <row r="541" spans="1:19">
      <c r="A541" s="15">
        <v>548</v>
      </c>
      <c r="B541" s="52" t="s">
        <v>126</v>
      </c>
      <c r="C541" s="48" t="s">
        <v>125</v>
      </c>
      <c r="D541" s="48" t="s">
        <v>122</v>
      </c>
      <c r="E541" s="37" t="s">
        <v>6</v>
      </c>
      <c r="F541" s="32" t="s">
        <v>112</v>
      </c>
      <c r="G541" s="50" t="s">
        <v>111</v>
      </c>
      <c r="H541" s="6"/>
      <c r="I541" s="6"/>
      <c r="J541" s="45" t="s">
        <v>110</v>
      </c>
      <c r="K541" s="45" t="s">
        <v>2</v>
      </c>
      <c r="L541" s="45" t="s">
        <v>116</v>
      </c>
      <c r="M541" s="46">
        <v>46577</v>
      </c>
      <c r="N541" s="18">
        <v>46386</v>
      </c>
      <c r="O541" s="7" t="s">
        <v>88</v>
      </c>
      <c r="P541" s="45" t="s">
        <v>0</v>
      </c>
      <c r="Q541" s="6"/>
      <c r="R541" s="17">
        <f t="shared" ca="1" si="16"/>
        <v>330</v>
      </c>
      <c r="S541" s="16" t="str">
        <f t="shared" ca="1" si="17"/>
        <v>✓ OK</v>
      </c>
    </row>
    <row r="542" spans="1:19">
      <c r="A542" s="15">
        <v>549</v>
      </c>
      <c r="B542" s="52" t="s">
        <v>124</v>
      </c>
      <c r="C542" s="48" t="s">
        <v>123</v>
      </c>
      <c r="D542" s="48" t="s">
        <v>122</v>
      </c>
      <c r="E542" s="37" t="s">
        <v>6</v>
      </c>
      <c r="F542" s="32" t="s">
        <v>112</v>
      </c>
      <c r="G542" s="50" t="s">
        <v>111</v>
      </c>
      <c r="H542" s="6"/>
      <c r="I542" s="6"/>
      <c r="J542" s="45" t="s">
        <v>110</v>
      </c>
      <c r="K542" s="45" t="s">
        <v>2</v>
      </c>
      <c r="L542" s="45" t="s">
        <v>116</v>
      </c>
      <c r="M542" s="46">
        <v>46577</v>
      </c>
      <c r="N542" s="18">
        <v>46386</v>
      </c>
      <c r="O542" s="7" t="s">
        <v>88</v>
      </c>
      <c r="P542" s="45" t="s">
        <v>0</v>
      </c>
      <c r="Q542" s="6"/>
      <c r="R542" s="17">
        <f t="shared" ca="1" si="16"/>
        <v>330</v>
      </c>
      <c r="S542" s="16" t="str">
        <f t="shared" ca="1" si="17"/>
        <v>✓ OK</v>
      </c>
    </row>
    <row r="543" spans="1:19">
      <c r="A543" s="15">
        <v>550</v>
      </c>
      <c r="B543" s="51" t="s">
        <v>121</v>
      </c>
      <c r="C543" s="48" t="s">
        <v>120</v>
      </c>
      <c r="D543" s="48" t="s">
        <v>117</v>
      </c>
      <c r="E543" s="37" t="s">
        <v>6</v>
      </c>
      <c r="F543" s="32" t="s">
        <v>112</v>
      </c>
      <c r="G543" s="50" t="s">
        <v>111</v>
      </c>
      <c r="H543" s="6"/>
      <c r="I543" s="6"/>
      <c r="J543" s="45" t="s">
        <v>110</v>
      </c>
      <c r="K543" s="45" t="s">
        <v>2</v>
      </c>
      <c r="L543" s="45" t="s">
        <v>116</v>
      </c>
      <c r="M543" s="46">
        <v>46577</v>
      </c>
      <c r="N543" s="18">
        <v>46386</v>
      </c>
      <c r="O543" s="7" t="s">
        <v>88</v>
      </c>
      <c r="P543" s="45" t="s">
        <v>0</v>
      </c>
      <c r="Q543" s="6"/>
      <c r="R543" s="17">
        <f t="shared" ca="1" si="16"/>
        <v>330</v>
      </c>
      <c r="S543" s="16" t="str">
        <f t="shared" ca="1" si="17"/>
        <v>✓ OK</v>
      </c>
    </row>
    <row r="544" spans="1:19">
      <c r="A544" s="15">
        <v>551</v>
      </c>
      <c r="B544" s="51" t="s">
        <v>119</v>
      </c>
      <c r="C544" s="48" t="s">
        <v>118</v>
      </c>
      <c r="D544" s="48" t="s">
        <v>117</v>
      </c>
      <c r="E544" s="37" t="s">
        <v>6</v>
      </c>
      <c r="F544" s="32" t="s">
        <v>112</v>
      </c>
      <c r="G544" s="50" t="s">
        <v>111</v>
      </c>
      <c r="H544" s="6"/>
      <c r="I544" s="6"/>
      <c r="J544" s="45" t="s">
        <v>110</v>
      </c>
      <c r="K544" s="45" t="s">
        <v>2</v>
      </c>
      <c r="L544" s="45" t="s">
        <v>116</v>
      </c>
      <c r="M544" s="46">
        <v>46577</v>
      </c>
      <c r="N544" s="18">
        <v>46386</v>
      </c>
      <c r="O544" s="7" t="s">
        <v>88</v>
      </c>
      <c r="P544" s="45"/>
      <c r="Q544" s="45" t="s">
        <v>57</v>
      </c>
      <c r="R544" s="17">
        <f t="shared" ca="1" si="16"/>
        <v>330</v>
      </c>
      <c r="S544" s="16" t="str">
        <f t="shared" ca="1" si="17"/>
        <v>✓ OK</v>
      </c>
    </row>
    <row r="545" spans="1:19">
      <c r="A545" s="15">
        <v>552</v>
      </c>
      <c r="B545" s="29" t="s">
        <v>115</v>
      </c>
      <c r="C545" s="48" t="s">
        <v>114</v>
      </c>
      <c r="D545" s="48" t="s">
        <v>113</v>
      </c>
      <c r="E545" s="37" t="s">
        <v>6</v>
      </c>
      <c r="F545" s="32" t="s">
        <v>112</v>
      </c>
      <c r="G545" s="50" t="s">
        <v>111</v>
      </c>
      <c r="H545" s="6"/>
      <c r="I545" s="6"/>
      <c r="J545" s="45" t="s">
        <v>110</v>
      </c>
      <c r="K545" s="45" t="s">
        <v>2</v>
      </c>
      <c r="L545" s="45" t="s">
        <v>109</v>
      </c>
      <c r="M545" s="46">
        <v>46582</v>
      </c>
      <c r="N545" s="18">
        <v>46386</v>
      </c>
      <c r="O545" s="7" t="s">
        <v>88</v>
      </c>
      <c r="P545" s="45"/>
      <c r="Q545" s="45" t="s">
        <v>57</v>
      </c>
      <c r="R545" s="17">
        <f t="shared" ca="1" si="16"/>
        <v>335</v>
      </c>
      <c r="S545" s="16" t="str">
        <f t="shared" ca="1" si="17"/>
        <v>✓ OK</v>
      </c>
    </row>
    <row r="546" spans="1:19">
      <c r="A546" s="15">
        <v>553</v>
      </c>
      <c r="B546" s="49" t="s">
        <v>108</v>
      </c>
      <c r="C546" s="48" t="s">
        <v>107</v>
      </c>
      <c r="D546" s="48" t="s">
        <v>107</v>
      </c>
      <c r="E546" s="37" t="s">
        <v>6</v>
      </c>
      <c r="F546" s="77" t="s">
        <v>53</v>
      </c>
      <c r="G546" s="47" t="s">
        <v>78</v>
      </c>
      <c r="H546" s="6"/>
      <c r="I546" s="6"/>
      <c r="J546" s="45" t="s">
        <v>105</v>
      </c>
      <c r="K546" s="45" t="s">
        <v>2</v>
      </c>
      <c r="L546" s="45" t="s">
        <v>104</v>
      </c>
      <c r="M546" s="46">
        <v>46386</v>
      </c>
      <c r="N546" s="18">
        <v>46386</v>
      </c>
      <c r="O546" s="7" t="s">
        <v>88</v>
      </c>
      <c r="P546" s="45"/>
      <c r="Q546" s="45" t="s">
        <v>57</v>
      </c>
      <c r="R546" s="17">
        <f t="shared" ca="1" si="16"/>
        <v>139</v>
      </c>
      <c r="S546" s="16" t="str">
        <f t="shared" ca="1" si="17"/>
        <v>✓ OK</v>
      </c>
    </row>
    <row r="547" spans="1:19">
      <c r="A547" s="15">
        <v>554</v>
      </c>
      <c r="B547" s="29" t="s">
        <v>103</v>
      </c>
      <c r="C547" s="48" t="s">
        <v>102</v>
      </c>
      <c r="D547" s="48" t="s">
        <v>101</v>
      </c>
      <c r="E547" s="37" t="s">
        <v>6</v>
      </c>
      <c r="F547" s="45" t="s">
        <v>5</v>
      </c>
      <c r="G547" s="47" t="s">
        <v>100</v>
      </c>
      <c r="H547" s="6"/>
      <c r="I547" s="6"/>
      <c r="J547" s="45" t="s">
        <v>99</v>
      </c>
      <c r="K547" s="45" t="s">
        <v>2</v>
      </c>
      <c r="L547" s="45" t="s">
        <v>98</v>
      </c>
      <c r="M547" s="46">
        <v>46386</v>
      </c>
      <c r="N547" s="18">
        <v>46386</v>
      </c>
      <c r="O547" s="7" t="s">
        <v>88</v>
      </c>
      <c r="P547" s="45" t="s">
        <v>0</v>
      </c>
      <c r="Q547" s="6"/>
      <c r="R547" s="17">
        <f t="shared" ca="1" si="16"/>
        <v>139</v>
      </c>
      <c r="S547" s="16" t="str">
        <f t="shared" ca="1" si="17"/>
        <v>✓ OK</v>
      </c>
    </row>
    <row r="548" spans="1:19">
      <c r="A548" s="15">
        <v>555</v>
      </c>
      <c r="B548" s="44" t="s">
        <v>12</v>
      </c>
      <c r="C548" s="36" t="s">
        <v>11</v>
      </c>
      <c r="D548" s="36" t="s">
        <v>7</v>
      </c>
      <c r="E548" s="37" t="s">
        <v>6</v>
      </c>
      <c r="F548" s="36" t="s">
        <v>5</v>
      </c>
      <c r="G548" s="35" t="s">
        <v>4</v>
      </c>
      <c r="H548" s="6"/>
      <c r="I548" s="6"/>
      <c r="J548" s="6" t="s">
        <v>3</v>
      </c>
      <c r="K548" s="6" t="s">
        <v>2</v>
      </c>
      <c r="L548" s="6"/>
      <c r="M548" s="34">
        <v>46386</v>
      </c>
      <c r="N548" s="34">
        <v>46386</v>
      </c>
      <c r="O548" s="7" t="s">
        <v>88</v>
      </c>
      <c r="P548" s="7" t="s">
        <v>0</v>
      </c>
      <c r="Q548" s="6"/>
      <c r="R548" s="17">
        <f t="shared" ca="1" si="16"/>
        <v>139</v>
      </c>
      <c r="S548" s="16" t="str">
        <f t="shared" ca="1" si="17"/>
        <v>✓ OK</v>
      </c>
    </row>
    <row r="549" spans="1:19">
      <c r="A549" s="15">
        <v>556</v>
      </c>
      <c r="B549" s="44" t="s">
        <v>97</v>
      </c>
      <c r="C549" s="36" t="s">
        <v>96</v>
      </c>
      <c r="D549" s="13" t="s">
        <v>7</v>
      </c>
      <c r="E549" s="37" t="s">
        <v>6</v>
      </c>
      <c r="F549" s="36" t="s">
        <v>5</v>
      </c>
      <c r="G549" s="35" t="s">
        <v>4</v>
      </c>
      <c r="H549" s="37"/>
      <c r="I549" s="37"/>
      <c r="J549" s="37" t="s">
        <v>3</v>
      </c>
      <c r="K549" s="43" t="s">
        <v>42</v>
      </c>
      <c r="L549" s="10"/>
      <c r="M549" s="42">
        <v>46182</v>
      </c>
      <c r="N549" s="42" t="s">
        <v>93</v>
      </c>
      <c r="O549" s="11" t="s">
        <v>88</v>
      </c>
      <c r="P549" s="7" t="s">
        <v>0</v>
      </c>
      <c r="Q549" s="6"/>
      <c r="R549" s="17">
        <f t="shared" ca="1" si="16"/>
        <v>-65</v>
      </c>
      <c r="S549" s="16" t="str">
        <f t="shared" ca="1" si="17"/>
        <v>EXPIRED</v>
      </c>
    </row>
    <row r="550" spans="1:19">
      <c r="A550" s="15">
        <v>557</v>
      </c>
      <c r="B550" s="44" t="s">
        <v>95</v>
      </c>
      <c r="C550" s="13" t="s">
        <v>94</v>
      </c>
      <c r="D550" s="13" t="s">
        <v>7</v>
      </c>
      <c r="E550" s="11" t="s">
        <v>6</v>
      </c>
      <c r="F550" s="13" t="s">
        <v>5</v>
      </c>
      <c r="G550" s="12" t="s">
        <v>4</v>
      </c>
      <c r="H550" s="11"/>
      <c r="I550" s="11"/>
      <c r="J550" s="11" t="s">
        <v>3</v>
      </c>
      <c r="K550" s="43" t="s">
        <v>42</v>
      </c>
      <c r="L550" s="10"/>
      <c r="M550" s="42">
        <v>46182</v>
      </c>
      <c r="N550" s="42" t="s">
        <v>93</v>
      </c>
      <c r="O550" s="11" t="s">
        <v>88</v>
      </c>
      <c r="P550" s="7" t="s">
        <v>0</v>
      </c>
      <c r="Q550" s="6"/>
      <c r="R550" s="17">
        <f t="shared" ca="1" si="16"/>
        <v>-65</v>
      </c>
      <c r="S550" s="16" t="str">
        <f t="shared" ca="1" si="17"/>
        <v>EXPIRED</v>
      </c>
    </row>
    <row r="551" spans="1:19">
      <c r="A551" s="15">
        <v>558</v>
      </c>
      <c r="B551" s="41" t="s">
        <v>92</v>
      </c>
      <c r="C551" s="36" t="s">
        <v>91</v>
      </c>
      <c r="D551" s="13" t="s">
        <v>7</v>
      </c>
      <c r="E551" s="37" t="s">
        <v>6</v>
      </c>
      <c r="F551" s="36" t="s">
        <v>5</v>
      </c>
      <c r="G551" s="35" t="s">
        <v>4</v>
      </c>
      <c r="H551" s="37"/>
      <c r="I551" s="37"/>
      <c r="J551" s="37" t="s">
        <v>3</v>
      </c>
      <c r="K551" s="6" t="s">
        <v>2</v>
      </c>
      <c r="L551" s="6"/>
      <c r="M551" s="40">
        <v>46386</v>
      </c>
      <c r="N551" s="39">
        <v>46386</v>
      </c>
      <c r="O551" s="32" t="s">
        <v>88</v>
      </c>
      <c r="P551" s="32" t="s">
        <v>0</v>
      </c>
      <c r="Q551" s="32"/>
      <c r="R551" s="17">
        <f t="shared" ca="1" si="16"/>
        <v>139</v>
      </c>
      <c r="S551" s="16" t="str">
        <f t="shared" ca="1" si="17"/>
        <v>✓ OK</v>
      </c>
    </row>
    <row r="552" spans="1:19">
      <c r="A552" s="15">
        <v>559</v>
      </c>
      <c r="B552" s="38" t="s">
        <v>90</v>
      </c>
      <c r="C552" s="36" t="s">
        <v>89</v>
      </c>
      <c r="D552" s="13" t="s">
        <v>7</v>
      </c>
      <c r="E552" s="37" t="s">
        <v>6</v>
      </c>
      <c r="F552" s="36" t="s">
        <v>5</v>
      </c>
      <c r="G552" s="35" t="s">
        <v>4</v>
      </c>
      <c r="H552" s="6"/>
      <c r="I552" s="6"/>
      <c r="J552" s="6" t="s">
        <v>3</v>
      </c>
      <c r="K552" s="6" t="s">
        <v>2</v>
      </c>
      <c r="L552" s="6"/>
      <c r="M552" s="34">
        <v>46386</v>
      </c>
      <c r="N552" s="33">
        <v>46386</v>
      </c>
      <c r="O552" s="32" t="s">
        <v>88</v>
      </c>
      <c r="P552" s="32" t="s">
        <v>0</v>
      </c>
      <c r="Q552" s="6"/>
      <c r="R552" s="17">
        <f t="shared" ca="1" si="16"/>
        <v>139</v>
      </c>
      <c r="S552" s="16" t="str">
        <f t="shared" ca="1" si="17"/>
        <v>✓ OK</v>
      </c>
    </row>
    <row r="553" spans="1:19">
      <c r="A553" s="15">
        <v>560</v>
      </c>
      <c r="B553" s="31" t="s">
        <v>87</v>
      </c>
      <c r="C553" s="21" t="s">
        <v>86</v>
      </c>
      <c r="D553" s="21" t="s">
        <v>79</v>
      </c>
      <c r="E553" s="7" t="s">
        <v>6</v>
      </c>
      <c r="F553" s="77" t="s">
        <v>53</v>
      </c>
      <c r="G553" s="20" t="s">
        <v>78</v>
      </c>
      <c r="H553" s="6"/>
      <c r="I553" s="6"/>
      <c r="J553" s="7" t="s">
        <v>45</v>
      </c>
      <c r="K553" s="10" t="s">
        <v>2</v>
      </c>
      <c r="L553" s="19">
        <f>IFERROR(VLOOKUP($B553,[1]Sheet2!$A:$L,11,FALSE()),"")</f>
        <v>46122</v>
      </c>
      <c r="M553" s="9">
        <v>46487</v>
      </c>
      <c r="N553" s="8">
        <v>46386</v>
      </c>
      <c r="O553" s="7" t="s">
        <v>1</v>
      </c>
      <c r="P553" s="7" t="s">
        <v>0</v>
      </c>
      <c r="Q553" s="6"/>
      <c r="R553" s="17">
        <f t="shared" ca="1" si="16"/>
        <v>240</v>
      </c>
      <c r="S553" s="16" t="str">
        <f t="shared" ca="1" si="17"/>
        <v>✓ OK</v>
      </c>
    </row>
    <row r="554" spans="1:19">
      <c r="A554" s="15">
        <v>561</v>
      </c>
      <c r="B554" s="30" t="s">
        <v>85</v>
      </c>
      <c r="C554" s="21" t="s">
        <v>84</v>
      </c>
      <c r="D554" s="21" t="s">
        <v>79</v>
      </c>
      <c r="E554" s="7" t="s">
        <v>6</v>
      </c>
      <c r="F554" s="77" t="s">
        <v>53</v>
      </c>
      <c r="G554" s="20" t="s">
        <v>78</v>
      </c>
      <c r="H554" s="7"/>
      <c r="I554" s="7"/>
      <c r="J554" s="7" t="s">
        <v>45</v>
      </c>
      <c r="K554" s="10" t="s">
        <v>2</v>
      </c>
      <c r="L554" s="19" t="s">
        <v>77</v>
      </c>
      <c r="M554" s="9">
        <v>46487</v>
      </c>
      <c r="N554" s="8">
        <v>46386</v>
      </c>
      <c r="O554" s="6" t="s">
        <v>1</v>
      </c>
      <c r="P554" s="7" t="s">
        <v>0</v>
      </c>
      <c r="Q554" s="6"/>
      <c r="R554" s="17">
        <f t="shared" ca="1" si="16"/>
        <v>240</v>
      </c>
      <c r="S554" s="16" t="str">
        <f t="shared" ca="1" si="17"/>
        <v>✓ OK</v>
      </c>
    </row>
    <row r="555" spans="1:19">
      <c r="A555" s="15">
        <v>562</v>
      </c>
      <c r="B555" s="29" t="s">
        <v>83</v>
      </c>
      <c r="C555" s="13" t="s">
        <v>82</v>
      </c>
      <c r="D555" s="13" t="s">
        <v>79</v>
      </c>
      <c r="E555" s="11" t="s">
        <v>6</v>
      </c>
      <c r="F555" s="77" t="s">
        <v>53</v>
      </c>
      <c r="G555" s="12" t="s">
        <v>78</v>
      </c>
      <c r="H555" s="11"/>
      <c r="I555" s="11"/>
      <c r="J555" s="11" t="s">
        <v>45</v>
      </c>
      <c r="K555" s="10" t="s">
        <v>2</v>
      </c>
      <c r="L555" s="6" t="s">
        <v>77</v>
      </c>
      <c r="M555" s="9">
        <v>46487</v>
      </c>
      <c r="N555" s="8">
        <v>46386</v>
      </c>
      <c r="O555" s="6" t="s">
        <v>1</v>
      </c>
      <c r="P555" s="7" t="s">
        <v>0</v>
      </c>
      <c r="Q555" s="6"/>
      <c r="R555" s="17">
        <f t="shared" ca="1" si="16"/>
        <v>240</v>
      </c>
      <c r="S555" s="16" t="str">
        <f t="shared" ca="1" si="17"/>
        <v>✓ OK</v>
      </c>
    </row>
    <row r="556" spans="1:19">
      <c r="A556" s="15">
        <v>563</v>
      </c>
      <c r="B556" s="29" t="s">
        <v>81</v>
      </c>
      <c r="C556" s="13" t="s">
        <v>80</v>
      </c>
      <c r="D556" s="13" t="s">
        <v>79</v>
      </c>
      <c r="E556" s="11" t="s">
        <v>6</v>
      </c>
      <c r="F556" s="77" t="s">
        <v>53</v>
      </c>
      <c r="G556" s="12" t="s">
        <v>78</v>
      </c>
      <c r="H556" s="11"/>
      <c r="I556" s="11"/>
      <c r="J556" s="11" t="s">
        <v>45</v>
      </c>
      <c r="K556" s="10" t="s">
        <v>2</v>
      </c>
      <c r="L556" s="6" t="s">
        <v>77</v>
      </c>
      <c r="M556" s="9">
        <v>46487</v>
      </c>
      <c r="N556" s="8">
        <v>46386</v>
      </c>
      <c r="O556" s="6" t="s">
        <v>1</v>
      </c>
      <c r="P556" s="7" t="s">
        <v>0</v>
      </c>
      <c r="Q556" s="6"/>
      <c r="R556" s="17">
        <f t="shared" ca="1" si="16"/>
        <v>240</v>
      </c>
      <c r="S556" s="16" t="str">
        <f t="shared" ca="1" si="17"/>
        <v>✓ OK</v>
      </c>
    </row>
    <row r="557" spans="1:19">
      <c r="A557" s="15">
        <v>564</v>
      </c>
      <c r="B557" s="14" t="s">
        <v>76</v>
      </c>
      <c r="C557" s="13" t="s">
        <v>75</v>
      </c>
      <c r="D557" s="13" t="s">
        <v>74</v>
      </c>
      <c r="E557" s="11" t="s">
        <v>6</v>
      </c>
      <c r="F557" s="21" t="s">
        <v>5</v>
      </c>
      <c r="G557" s="12" t="s">
        <v>73</v>
      </c>
      <c r="H557" s="11"/>
      <c r="I557" s="11"/>
      <c r="J557" s="11" t="s">
        <v>72</v>
      </c>
      <c r="K557" s="28" t="s">
        <v>2</v>
      </c>
      <c r="L557" s="23">
        <f>IFERROR(VLOOKUP($B557,[1]Sheet2!$A:$L,11,FALSE()),"")</f>
        <v>46079</v>
      </c>
      <c r="M557" s="9">
        <v>46386</v>
      </c>
      <c r="N557" s="22">
        <v>46386</v>
      </c>
      <c r="O557" s="7" t="s">
        <v>1</v>
      </c>
      <c r="P557" s="7"/>
      <c r="Q557" s="6" t="s">
        <v>57</v>
      </c>
      <c r="R557" s="17">
        <f t="shared" ca="1" si="16"/>
        <v>139</v>
      </c>
      <c r="S557" s="16" t="str">
        <f t="shared" ca="1" si="17"/>
        <v>✓ OK</v>
      </c>
    </row>
    <row r="558" spans="1:19">
      <c r="A558" s="15">
        <v>565</v>
      </c>
      <c r="B558" s="14" t="s">
        <v>71</v>
      </c>
      <c r="C558" s="13" t="s">
        <v>70</v>
      </c>
      <c r="D558" s="13" t="s">
        <v>65</v>
      </c>
      <c r="E558" s="11" t="s">
        <v>6</v>
      </c>
      <c r="F558" s="13" t="s">
        <v>5</v>
      </c>
      <c r="G558" s="12" t="s">
        <v>64</v>
      </c>
      <c r="H558" s="11" t="s">
        <v>63</v>
      </c>
      <c r="I558" s="11" t="s">
        <v>62</v>
      </c>
      <c r="J558" s="11" t="s">
        <v>61</v>
      </c>
      <c r="K558" s="10" t="s">
        <v>2</v>
      </c>
      <c r="L558" s="23">
        <f>IFERROR(VLOOKUP($B558,[1]Sheet2!$A:$L,11,FALSE()),"")</f>
        <v>45996</v>
      </c>
      <c r="M558" s="9">
        <v>46387</v>
      </c>
      <c r="N558" s="22">
        <v>46386</v>
      </c>
      <c r="O558" s="7" t="s">
        <v>1</v>
      </c>
      <c r="P558" s="7"/>
      <c r="Q558" s="6" t="s">
        <v>57</v>
      </c>
      <c r="R558" s="17">
        <f t="shared" ca="1" si="16"/>
        <v>140</v>
      </c>
      <c r="S558" s="16" t="str">
        <f t="shared" ca="1" si="17"/>
        <v>✓ OK</v>
      </c>
    </row>
    <row r="559" spans="1:19">
      <c r="A559" s="15">
        <v>566</v>
      </c>
      <c r="B559" s="14" t="s">
        <v>69</v>
      </c>
      <c r="C559" s="13" t="s">
        <v>68</v>
      </c>
      <c r="D559" s="13" t="s">
        <v>65</v>
      </c>
      <c r="E559" s="11" t="s">
        <v>6</v>
      </c>
      <c r="F559" s="13" t="s">
        <v>5</v>
      </c>
      <c r="G559" s="12" t="s">
        <v>64</v>
      </c>
      <c r="H559" s="11" t="s">
        <v>63</v>
      </c>
      <c r="I559" s="11" t="s">
        <v>62</v>
      </c>
      <c r="J559" s="11" t="s">
        <v>61</v>
      </c>
      <c r="K559" s="10" t="s">
        <v>2</v>
      </c>
      <c r="L559" s="23">
        <f>IFERROR(VLOOKUP($B559,[1]Sheet2!$A:$L,11,FALSE()),"")</f>
        <v>45994</v>
      </c>
      <c r="M559" s="9">
        <v>46387</v>
      </c>
      <c r="N559" s="22">
        <v>46386</v>
      </c>
      <c r="O559" s="7" t="s">
        <v>1</v>
      </c>
      <c r="P559" s="7" t="s">
        <v>0</v>
      </c>
      <c r="Q559" s="6"/>
      <c r="R559" s="17">
        <f t="shared" ca="1" si="16"/>
        <v>140</v>
      </c>
      <c r="S559" s="16" t="str">
        <f t="shared" ca="1" si="17"/>
        <v>✓ OK</v>
      </c>
    </row>
    <row r="560" spans="1:19">
      <c r="A560" s="15">
        <v>567</v>
      </c>
      <c r="B560" s="14" t="s">
        <v>67</v>
      </c>
      <c r="C560" s="13" t="s">
        <v>66</v>
      </c>
      <c r="D560" s="13" t="s">
        <v>65</v>
      </c>
      <c r="E560" s="11" t="s">
        <v>6</v>
      </c>
      <c r="F560" s="13" t="s">
        <v>5</v>
      </c>
      <c r="G560" s="12" t="s">
        <v>64</v>
      </c>
      <c r="H560" s="11" t="s">
        <v>63</v>
      </c>
      <c r="I560" s="11" t="s">
        <v>62</v>
      </c>
      <c r="J560" s="11" t="s">
        <v>61</v>
      </c>
      <c r="K560" s="10" t="s">
        <v>2</v>
      </c>
      <c r="L560" s="23">
        <f>IFERROR(VLOOKUP($B560,[1]Sheet2!$A:$L,11,FALSE()),"")</f>
        <v>45994</v>
      </c>
      <c r="M560" s="9">
        <v>46387</v>
      </c>
      <c r="N560" s="22">
        <v>46386</v>
      </c>
      <c r="O560" s="7" t="s">
        <v>1</v>
      </c>
      <c r="P560" s="7" t="s">
        <v>0</v>
      </c>
      <c r="Q560" s="6"/>
      <c r="R560" s="17">
        <f t="shared" ca="1" si="16"/>
        <v>140</v>
      </c>
      <c r="S560" s="16" t="str">
        <f t="shared" ca="1" si="17"/>
        <v>✓ OK</v>
      </c>
    </row>
    <row r="561" spans="1:19">
      <c r="A561" s="15">
        <v>568</v>
      </c>
      <c r="B561" s="27" t="s">
        <v>60</v>
      </c>
      <c r="C561" s="13" t="s">
        <v>59</v>
      </c>
      <c r="D561" s="13" t="s">
        <v>58</v>
      </c>
      <c r="E561" s="11" t="s">
        <v>6</v>
      </c>
      <c r="F561" s="13" t="s">
        <v>5</v>
      </c>
      <c r="G561" s="12" t="s">
        <v>4</v>
      </c>
      <c r="H561" s="11"/>
      <c r="I561" s="11"/>
      <c r="J561" s="11"/>
      <c r="K561" s="10" t="s">
        <v>2</v>
      </c>
      <c r="L561" s="6" t="s">
        <v>10</v>
      </c>
      <c r="M561" s="9"/>
      <c r="N561" s="8"/>
      <c r="O561" s="6"/>
      <c r="P561" s="7"/>
      <c r="Q561" s="6" t="s">
        <v>57</v>
      </c>
      <c r="R561" s="17" t="str">
        <f t="shared" ca="1" si="16"/>
        <v/>
      </c>
      <c r="S561" s="16" t="str">
        <f t="shared" ca="1" si="17"/>
        <v>—</v>
      </c>
    </row>
    <row r="562" spans="1:19">
      <c r="A562" s="15">
        <v>569</v>
      </c>
      <c r="B562" s="14" t="s">
        <v>56</v>
      </c>
      <c r="C562" s="13" t="s">
        <v>55</v>
      </c>
      <c r="D562" s="21" t="s">
        <v>54</v>
      </c>
      <c r="E562" s="7" t="s">
        <v>6</v>
      </c>
      <c r="F562" s="77" t="s">
        <v>53</v>
      </c>
      <c r="G562" s="20" t="s">
        <v>52</v>
      </c>
      <c r="H562" s="26" t="s">
        <v>51</v>
      </c>
      <c r="I562" s="7" t="s">
        <v>50</v>
      </c>
      <c r="J562" s="7"/>
      <c r="K562" s="10" t="s">
        <v>2</v>
      </c>
      <c r="L562" s="19">
        <f>IFERROR(VLOOKUP($B562,[1]Sheet2!$A:$L,11,FALSE()),"")</f>
        <v>45994</v>
      </c>
      <c r="M562" s="18">
        <v>46386</v>
      </c>
      <c r="N562" s="8">
        <v>46386</v>
      </c>
      <c r="O562" s="6" t="s">
        <v>1</v>
      </c>
      <c r="P562" s="7" t="s">
        <v>0</v>
      </c>
      <c r="Q562" s="6"/>
      <c r="R562" s="17">
        <f t="shared" ca="1" si="16"/>
        <v>139</v>
      </c>
      <c r="S562" s="16" t="str">
        <f t="shared" ca="1" si="17"/>
        <v>✓ OK</v>
      </c>
    </row>
    <row r="563" spans="1:19">
      <c r="A563" s="15">
        <v>570</v>
      </c>
      <c r="B563" s="14" t="s">
        <v>49</v>
      </c>
      <c r="C563" s="21" t="s">
        <v>48</v>
      </c>
      <c r="D563" s="21" t="s">
        <v>48</v>
      </c>
      <c r="E563" s="7" t="s">
        <v>6</v>
      </c>
      <c r="F563" s="21" t="s">
        <v>47</v>
      </c>
      <c r="G563" s="20" t="s">
        <v>46</v>
      </c>
      <c r="H563" s="7"/>
      <c r="I563" s="7"/>
      <c r="J563" s="7" t="s">
        <v>45</v>
      </c>
      <c r="K563" s="10" t="s">
        <v>2</v>
      </c>
      <c r="L563" s="19">
        <f>IFERROR(VLOOKUP($B563,[1]Sheet2!$A:$L,11,FALSE()),"")</f>
        <v>45994</v>
      </c>
      <c r="M563" s="25">
        <v>46386</v>
      </c>
      <c r="N563" s="24">
        <v>46386</v>
      </c>
      <c r="O563" s="7" t="s">
        <v>1</v>
      </c>
      <c r="P563" s="7" t="s">
        <v>0</v>
      </c>
      <c r="Q563" s="6"/>
      <c r="R563" s="17">
        <f t="shared" ca="1" si="16"/>
        <v>139</v>
      </c>
      <c r="S563" s="16" t="str">
        <f t="shared" ca="1" si="17"/>
        <v>✓ OK</v>
      </c>
    </row>
    <row r="564" spans="1:19">
      <c r="A564" s="15">
        <v>571</v>
      </c>
      <c r="B564" s="14" t="s">
        <v>44</v>
      </c>
      <c r="C564" s="21" t="s">
        <v>43</v>
      </c>
      <c r="D564" s="21" t="s">
        <v>7</v>
      </c>
      <c r="E564" s="7" t="s">
        <v>6</v>
      </c>
      <c r="F564" s="21" t="s">
        <v>5</v>
      </c>
      <c r="G564" s="20" t="s">
        <v>4</v>
      </c>
      <c r="H564" s="7"/>
      <c r="I564" s="7"/>
      <c r="J564" s="7" t="s">
        <v>3</v>
      </c>
      <c r="K564" s="10" t="s">
        <v>42</v>
      </c>
      <c r="L564" s="19">
        <f>IFERROR(VLOOKUP($B564,[1]Sheet2!$A:$L,11,FALSE()),"")</f>
        <v>45994</v>
      </c>
      <c r="M564" s="18">
        <v>46182</v>
      </c>
      <c r="N564" s="11" t="s">
        <v>41</v>
      </c>
      <c r="O564" s="7" t="s">
        <v>40</v>
      </c>
      <c r="P564" s="7" t="s">
        <v>0</v>
      </c>
      <c r="Q564" s="6"/>
      <c r="R564" s="17">
        <f t="shared" ca="1" si="16"/>
        <v>-65</v>
      </c>
      <c r="S564" s="16" t="str">
        <f t="shared" ca="1" si="17"/>
        <v>EXPIRED</v>
      </c>
    </row>
    <row r="565" spans="1:19">
      <c r="A565" s="15">
        <v>572</v>
      </c>
      <c r="B565" s="14" t="s">
        <v>39</v>
      </c>
      <c r="C565" s="21" t="s">
        <v>38</v>
      </c>
      <c r="D565" s="21" t="s">
        <v>7</v>
      </c>
      <c r="E565" s="7" t="s">
        <v>6</v>
      </c>
      <c r="F565" s="21" t="s">
        <v>5</v>
      </c>
      <c r="G565" s="20" t="s">
        <v>4</v>
      </c>
      <c r="H565" s="7"/>
      <c r="I565" s="7"/>
      <c r="J565" s="7" t="s">
        <v>35</v>
      </c>
      <c r="K565" s="10" t="s">
        <v>2</v>
      </c>
      <c r="L565" s="19">
        <f>IFERROR(VLOOKUP($B565,[1]Sheet2!$A:$L,11,FALSE()),"")</f>
        <v>45994</v>
      </c>
      <c r="M565" s="18">
        <v>46386</v>
      </c>
      <c r="N565" s="8">
        <v>46386</v>
      </c>
      <c r="O565" s="7" t="s">
        <v>1</v>
      </c>
      <c r="P565" s="7" t="s">
        <v>0</v>
      </c>
      <c r="Q565" s="6"/>
      <c r="R565" s="17">
        <f t="shared" ca="1" si="16"/>
        <v>139</v>
      </c>
      <c r="S565" s="16" t="str">
        <f t="shared" ca="1" si="17"/>
        <v>✓ OK</v>
      </c>
    </row>
    <row r="566" spans="1:19">
      <c r="A566" s="15">
        <v>573</v>
      </c>
      <c r="B566" s="14" t="s">
        <v>37</v>
      </c>
      <c r="C566" s="13" t="s">
        <v>36</v>
      </c>
      <c r="D566" s="21" t="s">
        <v>7</v>
      </c>
      <c r="E566" s="11" t="s">
        <v>6</v>
      </c>
      <c r="F566" s="13" t="s">
        <v>5</v>
      </c>
      <c r="G566" s="12" t="s">
        <v>4</v>
      </c>
      <c r="H566" s="11"/>
      <c r="I566" s="11"/>
      <c r="J566" s="11" t="s">
        <v>35</v>
      </c>
      <c r="K566" s="10" t="s">
        <v>2</v>
      </c>
      <c r="L566" s="19" t="s">
        <v>10</v>
      </c>
      <c r="M566" s="9">
        <v>46386</v>
      </c>
      <c r="N566" s="22">
        <v>46386</v>
      </c>
      <c r="O566" s="7" t="s">
        <v>1</v>
      </c>
      <c r="P566" s="7" t="s">
        <v>0</v>
      </c>
      <c r="Q566" s="6"/>
      <c r="R566" s="17">
        <f t="shared" ca="1" si="16"/>
        <v>139</v>
      </c>
      <c r="S566" s="16" t="str">
        <f t="shared" ca="1" si="17"/>
        <v>✓ OK</v>
      </c>
    </row>
    <row r="567" spans="1:19">
      <c r="A567" s="15">
        <v>574</v>
      </c>
      <c r="B567" s="14" t="s">
        <v>34</v>
      </c>
      <c r="C567" s="13" t="s">
        <v>33</v>
      </c>
      <c r="D567" s="21" t="s">
        <v>7</v>
      </c>
      <c r="E567" s="11" t="s">
        <v>6</v>
      </c>
      <c r="F567" s="13" t="s">
        <v>5</v>
      </c>
      <c r="G567" s="12" t="s">
        <v>4</v>
      </c>
      <c r="H567" s="11"/>
      <c r="I567" s="11"/>
      <c r="J567" s="11" t="s">
        <v>3</v>
      </c>
      <c r="K567" s="10" t="s">
        <v>2</v>
      </c>
      <c r="L567" s="23">
        <f>IFERROR(VLOOKUP($B567,[1]Sheet2!$A:$L,11,FALSE()),"")</f>
        <v>45994</v>
      </c>
      <c r="M567" s="9">
        <v>46386</v>
      </c>
      <c r="N567" s="22">
        <v>46386</v>
      </c>
      <c r="O567" s="7" t="s">
        <v>1</v>
      </c>
      <c r="P567" s="7" t="s">
        <v>0</v>
      </c>
      <c r="Q567" s="6"/>
      <c r="R567" s="17">
        <f t="shared" ca="1" si="16"/>
        <v>139</v>
      </c>
      <c r="S567" s="16" t="str">
        <f t="shared" ca="1" si="17"/>
        <v>✓ OK</v>
      </c>
    </row>
    <row r="568" spans="1:19">
      <c r="A568" s="15">
        <v>575</v>
      </c>
      <c r="B568" s="14" t="s">
        <v>32</v>
      </c>
      <c r="C568" s="21" t="s">
        <v>31</v>
      </c>
      <c r="D568" s="21" t="s">
        <v>7</v>
      </c>
      <c r="E568" s="7" t="s">
        <v>6</v>
      </c>
      <c r="F568" s="21" t="s">
        <v>5</v>
      </c>
      <c r="G568" s="20" t="s">
        <v>4</v>
      </c>
      <c r="H568" s="7"/>
      <c r="I568" s="7"/>
      <c r="J568" s="7" t="s">
        <v>3</v>
      </c>
      <c r="K568" s="10" t="s">
        <v>2</v>
      </c>
      <c r="L568" s="19">
        <f>IFERROR(VLOOKUP($B568,[1]Sheet2!$A:$L,11,FALSE()),"")</f>
        <v>45994</v>
      </c>
      <c r="M568" s="18">
        <v>46386</v>
      </c>
      <c r="N568" s="8">
        <v>46386</v>
      </c>
      <c r="O568" s="7" t="s">
        <v>1</v>
      </c>
      <c r="P568" s="7" t="s">
        <v>0</v>
      </c>
      <c r="Q568" s="6"/>
      <c r="R568" s="17">
        <f t="shared" ca="1" si="16"/>
        <v>139</v>
      </c>
      <c r="S568" s="16" t="str">
        <f t="shared" ca="1" si="17"/>
        <v>✓ OK</v>
      </c>
    </row>
    <row r="569" spans="1:19">
      <c r="A569" s="15">
        <v>576</v>
      </c>
      <c r="B569" s="14" t="s">
        <v>30</v>
      </c>
      <c r="C569" s="13" t="s">
        <v>29</v>
      </c>
      <c r="D569" s="21" t="s">
        <v>7</v>
      </c>
      <c r="E569" s="7" t="s">
        <v>6</v>
      </c>
      <c r="F569" s="21" t="s">
        <v>5</v>
      </c>
      <c r="G569" s="20" t="s">
        <v>4</v>
      </c>
      <c r="H569" s="7"/>
      <c r="I569" s="7"/>
      <c r="J569" s="7" t="s">
        <v>3</v>
      </c>
      <c r="K569" s="10" t="s">
        <v>2</v>
      </c>
      <c r="L569" s="19">
        <f>IFERROR(VLOOKUP($B569,[1]Sheet2!$A:$L,11,FALSE()),"")</f>
        <v>45994</v>
      </c>
      <c r="M569" s="18">
        <v>46386</v>
      </c>
      <c r="N569" s="8">
        <v>46386</v>
      </c>
      <c r="O569" s="7" t="s">
        <v>1</v>
      </c>
      <c r="P569" s="7" t="s">
        <v>0</v>
      </c>
      <c r="Q569" s="6"/>
      <c r="R569" s="17">
        <f t="shared" ca="1" si="16"/>
        <v>139</v>
      </c>
      <c r="S569" s="16" t="str">
        <f t="shared" ca="1" si="17"/>
        <v>✓ OK</v>
      </c>
    </row>
    <row r="570" spans="1:19">
      <c r="A570" s="15">
        <v>577</v>
      </c>
      <c r="B570" s="14" t="s">
        <v>28</v>
      </c>
      <c r="C570" s="13" t="s">
        <v>27</v>
      </c>
      <c r="D570" s="13" t="s">
        <v>7</v>
      </c>
      <c r="E570" s="7" t="s">
        <v>6</v>
      </c>
      <c r="F570" s="21" t="s">
        <v>5</v>
      </c>
      <c r="G570" s="20" t="s">
        <v>4</v>
      </c>
      <c r="H570" s="7"/>
      <c r="I570" s="7"/>
      <c r="J570" s="7" t="s">
        <v>3</v>
      </c>
      <c r="K570" s="10" t="s">
        <v>2</v>
      </c>
      <c r="L570" s="19">
        <f>IFERROR(VLOOKUP($B570,[1]Sheet2!$A:$L,11,FALSE()),"")</f>
        <v>45994</v>
      </c>
      <c r="M570" s="18">
        <v>46386</v>
      </c>
      <c r="N570" s="8">
        <v>46386</v>
      </c>
      <c r="O570" s="7" t="s">
        <v>1</v>
      </c>
      <c r="P570" s="7" t="s">
        <v>0</v>
      </c>
      <c r="Q570" s="6"/>
      <c r="R570" s="17">
        <f t="shared" ca="1" si="16"/>
        <v>139</v>
      </c>
      <c r="S570" s="16" t="str">
        <f t="shared" ca="1" si="17"/>
        <v>✓ OK</v>
      </c>
    </row>
    <row r="571" spans="1:19">
      <c r="A571" s="15">
        <v>578</v>
      </c>
      <c r="B571" s="14" t="s">
        <v>26</v>
      </c>
      <c r="C571" s="13" t="s">
        <v>25</v>
      </c>
      <c r="D571" s="13" t="s">
        <v>7</v>
      </c>
      <c r="E571" s="11" t="s">
        <v>6</v>
      </c>
      <c r="F571" s="21" t="s">
        <v>5</v>
      </c>
      <c r="G571" s="20" t="s">
        <v>4</v>
      </c>
      <c r="H571" s="7"/>
      <c r="I571" s="7"/>
      <c r="J571" s="7" t="s">
        <v>3</v>
      </c>
      <c r="K571" s="10" t="s">
        <v>2</v>
      </c>
      <c r="L571" s="19">
        <f>IFERROR(VLOOKUP($B571,[1]Sheet2!$A:$L,11,FALSE()),"")</f>
        <v>45994</v>
      </c>
      <c r="M571" s="18">
        <v>46386</v>
      </c>
      <c r="N571" s="8">
        <v>46386</v>
      </c>
      <c r="O571" s="7" t="s">
        <v>1</v>
      </c>
      <c r="P571" s="7" t="s">
        <v>0</v>
      </c>
      <c r="Q571" s="6"/>
      <c r="R571" s="17">
        <f t="shared" ca="1" si="16"/>
        <v>139</v>
      </c>
      <c r="S571" s="16" t="str">
        <f t="shared" ca="1" si="17"/>
        <v>✓ OK</v>
      </c>
    </row>
    <row r="572" spans="1:19">
      <c r="A572" s="15">
        <v>579</v>
      </c>
      <c r="B572" s="14" t="s">
        <v>24</v>
      </c>
      <c r="C572" s="13" t="s">
        <v>23</v>
      </c>
      <c r="D572" s="13" t="s">
        <v>7</v>
      </c>
      <c r="E572" s="11" t="s">
        <v>6</v>
      </c>
      <c r="F572" s="21" t="s">
        <v>5</v>
      </c>
      <c r="G572" s="20" t="s">
        <v>4</v>
      </c>
      <c r="H572" s="7"/>
      <c r="I572" s="7"/>
      <c r="J572" s="7" t="s">
        <v>15</v>
      </c>
      <c r="K572" s="10" t="s">
        <v>2</v>
      </c>
      <c r="L572" s="19">
        <f>IFERROR(VLOOKUP($B572,[1]Sheet2!$A:$L,11,FALSE()),"")</f>
        <v>45994</v>
      </c>
      <c r="M572" s="18">
        <v>46386</v>
      </c>
      <c r="N572" s="8">
        <v>46386</v>
      </c>
      <c r="O572" s="7" t="s">
        <v>1</v>
      </c>
      <c r="P572" s="7" t="s">
        <v>0</v>
      </c>
      <c r="Q572" s="6"/>
      <c r="R572" s="17">
        <f t="shared" ca="1" si="16"/>
        <v>139</v>
      </c>
      <c r="S572" s="16" t="str">
        <f t="shared" ca="1" si="17"/>
        <v>✓ OK</v>
      </c>
    </row>
    <row r="573" spans="1:19">
      <c r="A573" s="15">
        <v>580</v>
      </c>
      <c r="B573" s="14" t="s">
        <v>22</v>
      </c>
      <c r="C573" s="13" t="s">
        <v>21</v>
      </c>
      <c r="D573" s="13" t="s">
        <v>7</v>
      </c>
      <c r="E573" s="11" t="s">
        <v>6</v>
      </c>
      <c r="F573" s="21" t="s">
        <v>5</v>
      </c>
      <c r="G573" s="20" t="s">
        <v>4</v>
      </c>
      <c r="H573" s="7"/>
      <c r="I573" s="7"/>
      <c r="J573" s="7" t="s">
        <v>15</v>
      </c>
      <c r="K573" s="10" t="s">
        <v>2</v>
      </c>
      <c r="L573" s="19">
        <f>IFERROR(VLOOKUP($B573,[1]Sheet2!$A:$L,11,FALSE()),"")</f>
        <v>45994</v>
      </c>
      <c r="M573" s="18">
        <v>46386</v>
      </c>
      <c r="N573" s="8">
        <v>46386</v>
      </c>
      <c r="O573" s="7" t="s">
        <v>1</v>
      </c>
      <c r="P573" s="7" t="s">
        <v>0</v>
      </c>
      <c r="Q573" s="6"/>
      <c r="R573" s="17">
        <f t="shared" ca="1" si="16"/>
        <v>139</v>
      </c>
      <c r="S573" s="16" t="str">
        <f t="shared" ca="1" si="17"/>
        <v>✓ OK</v>
      </c>
    </row>
    <row r="574" spans="1:19">
      <c r="A574" s="15">
        <v>581</v>
      </c>
      <c r="B574" s="14" t="s">
        <v>20</v>
      </c>
      <c r="C574" s="13" t="s">
        <v>19</v>
      </c>
      <c r="D574" s="13" t="s">
        <v>16</v>
      </c>
      <c r="E574" s="11" t="s">
        <v>6</v>
      </c>
      <c r="F574" s="21" t="s">
        <v>5</v>
      </c>
      <c r="G574" s="20" t="s">
        <v>4</v>
      </c>
      <c r="H574" s="7"/>
      <c r="I574" s="7"/>
      <c r="J574" s="7" t="s">
        <v>15</v>
      </c>
      <c r="K574" s="10" t="s">
        <v>2</v>
      </c>
      <c r="L574" s="19">
        <f>IFERROR(VLOOKUP($B574,[1]Sheet2!$A:$L,11,FALSE()),"")</f>
        <v>45994</v>
      </c>
      <c r="M574" s="18">
        <v>46386</v>
      </c>
      <c r="N574" s="8">
        <v>46386</v>
      </c>
      <c r="O574" s="7" t="s">
        <v>1</v>
      </c>
      <c r="P574" s="7" t="s">
        <v>0</v>
      </c>
      <c r="Q574" s="6"/>
      <c r="R574" s="17">
        <f t="shared" ca="1" si="16"/>
        <v>139</v>
      </c>
      <c r="S574" s="16" t="str">
        <f t="shared" ca="1" si="17"/>
        <v>✓ OK</v>
      </c>
    </row>
    <row r="575" spans="1:19">
      <c r="A575" s="15">
        <v>582</v>
      </c>
      <c r="B575" s="14" t="s">
        <v>18</v>
      </c>
      <c r="C575" s="13" t="s">
        <v>17</v>
      </c>
      <c r="D575" s="13" t="s">
        <v>16</v>
      </c>
      <c r="E575" s="11" t="s">
        <v>6</v>
      </c>
      <c r="F575" s="21" t="s">
        <v>5</v>
      </c>
      <c r="G575" s="20" t="s">
        <v>4</v>
      </c>
      <c r="H575" s="7"/>
      <c r="I575" s="7"/>
      <c r="J575" s="7" t="s">
        <v>15</v>
      </c>
      <c r="K575" s="10" t="s">
        <v>2</v>
      </c>
      <c r="L575" s="19">
        <f>IFERROR(VLOOKUP($B575,[1]Sheet2!$A:$L,11,FALSE()),"")</f>
        <v>45994</v>
      </c>
      <c r="M575" s="18">
        <v>46386</v>
      </c>
      <c r="N575" s="8">
        <v>46386</v>
      </c>
      <c r="O575" s="7" t="s">
        <v>1</v>
      </c>
      <c r="P575" s="7" t="s">
        <v>0</v>
      </c>
      <c r="Q575" s="6"/>
      <c r="R575" s="17">
        <f t="shared" ca="1" si="16"/>
        <v>139</v>
      </c>
      <c r="S575" s="16" t="str">
        <f t="shared" ca="1" si="17"/>
        <v>✓ OK</v>
      </c>
    </row>
    <row r="576" spans="1:19">
      <c r="A576" s="15">
        <v>583</v>
      </c>
      <c r="B576" s="14" t="s">
        <v>14</v>
      </c>
      <c r="C576" s="13" t="s">
        <v>13</v>
      </c>
      <c r="D576" s="13" t="s">
        <v>7</v>
      </c>
      <c r="E576" s="11" t="s">
        <v>6</v>
      </c>
      <c r="F576" s="21" t="s">
        <v>5</v>
      </c>
      <c r="G576" s="20" t="s">
        <v>4</v>
      </c>
      <c r="H576" s="7"/>
      <c r="I576" s="7"/>
      <c r="J576" s="7" t="s">
        <v>3</v>
      </c>
      <c r="K576" s="10" t="s">
        <v>2</v>
      </c>
      <c r="L576" s="19">
        <f>IFERROR(VLOOKUP($B576,[1]Sheet2!$A:$L,11,FALSE()),"")</f>
        <v>45994</v>
      </c>
      <c r="M576" s="18">
        <v>46386</v>
      </c>
      <c r="N576" s="8">
        <v>46386</v>
      </c>
      <c r="O576" s="7" t="s">
        <v>1</v>
      </c>
      <c r="P576" s="7" t="s">
        <v>0</v>
      </c>
      <c r="Q576" s="6"/>
      <c r="R576" s="17">
        <f t="shared" ca="1" si="16"/>
        <v>139</v>
      </c>
      <c r="S576" s="16" t="str">
        <f t="shared" ca="1" si="17"/>
        <v>✓ OK</v>
      </c>
    </row>
    <row r="577" spans="1:19">
      <c r="A577" s="15">
        <v>584</v>
      </c>
      <c r="B577" s="14" t="s">
        <v>12</v>
      </c>
      <c r="C577" s="13" t="s">
        <v>11</v>
      </c>
      <c r="D577" s="13" t="s">
        <v>7</v>
      </c>
      <c r="E577" s="11" t="s">
        <v>6</v>
      </c>
      <c r="F577" s="13" t="s">
        <v>5</v>
      </c>
      <c r="G577" s="12" t="s">
        <v>4</v>
      </c>
      <c r="H577" s="11"/>
      <c r="I577" s="11"/>
      <c r="J577" s="11" t="s">
        <v>3</v>
      </c>
      <c r="K577" s="10" t="s">
        <v>2</v>
      </c>
      <c r="L577" s="19" t="s">
        <v>10</v>
      </c>
      <c r="M577" s="9">
        <v>46386</v>
      </c>
      <c r="N577" s="22">
        <v>46386</v>
      </c>
      <c r="O577" s="7" t="s">
        <v>1</v>
      </c>
      <c r="P577" s="7" t="s">
        <v>0</v>
      </c>
      <c r="Q577" s="6"/>
      <c r="R577" s="17">
        <f t="shared" ca="1" si="16"/>
        <v>139</v>
      </c>
      <c r="S577" s="16" t="str">
        <f t="shared" ca="1" si="17"/>
        <v>✓ OK</v>
      </c>
    </row>
    <row r="578" spans="1:19">
      <c r="A578" s="15">
        <v>586</v>
      </c>
      <c r="B578" s="14" t="s">
        <v>9</v>
      </c>
      <c r="C578" s="21" t="s">
        <v>8</v>
      </c>
      <c r="D578" s="21" t="s">
        <v>7</v>
      </c>
      <c r="E578" s="7" t="s">
        <v>6</v>
      </c>
      <c r="F578" s="21" t="s">
        <v>5</v>
      </c>
      <c r="G578" s="20" t="s">
        <v>4</v>
      </c>
      <c r="H578" s="7"/>
      <c r="I578" s="7"/>
      <c r="J578" s="7" t="s">
        <v>3</v>
      </c>
      <c r="K578" s="10" t="s">
        <v>2</v>
      </c>
      <c r="L578" s="19">
        <f>IFERROR(VLOOKUP($B578,[1]Sheet2!$A:$L,11,FALSE()),"")</f>
        <v>45994</v>
      </c>
      <c r="M578" s="18">
        <v>46386</v>
      </c>
      <c r="N578" s="8">
        <v>46386</v>
      </c>
      <c r="O578" s="7" t="s">
        <v>1</v>
      </c>
      <c r="P578" s="7" t="s">
        <v>0</v>
      </c>
      <c r="Q578" s="6"/>
      <c r="R578" s="17">
        <f t="shared" ca="1" si="16"/>
        <v>139</v>
      </c>
      <c r="S578" s="16" t="str">
        <f t="shared" ref="S578:S641" ca="1" si="18">IF(R578="","—",IF(R578&lt;0,"EXPIRED",IF(R578&lt;=30,"⚠ EXPIRES SOON",IF(R578&lt;=90,"⚡ 90 Days","✓ OK"))))</f>
        <v>✓ OK</v>
      </c>
    </row>
  </sheetData>
  <autoFilter ref="R1:S578" xr:uid="{299343C8-C577-4182-88E7-4AF9890800CC}"/>
  <conditionalFormatting sqref="A2:J146 P2:S152 O2:O153 L2:N306 K133 A147 C147:J147 R153:S153 O154:S375 K192 K298:K299 L307:M307 L308:N376 K326 K346 R376:S376 P377:S536 L377:O537 A537 C537:D537 F537:J537 B537:B539 E537:E539 P537:Q539 S537:S578 A148:J536">
    <cfRule type="expression" dxfId="71" priority="70">
      <formula>$S2="⚠ EXPIRES SOON"</formula>
    </cfRule>
  </conditionalFormatting>
  <conditionalFormatting sqref="C567:C568 E567:J570 F571:J576 C577:J578">
    <cfRule type="expression" dxfId="70" priority="7">
      <formula>$S567="EXPIRED"</formula>
    </cfRule>
    <cfRule type="expression" dxfId="69" priority="8">
      <formula>$S567="⚠ EXPIRES SOON"</formula>
    </cfRule>
  </conditionalFormatting>
  <conditionalFormatting sqref="C553:E553 G553">
    <cfRule type="expression" dxfId="68" priority="38">
      <formula>$S553="⚠ EXPIRES SOON"</formula>
    </cfRule>
    <cfRule type="expression" dxfId="67" priority="37">
      <formula>$S553="EXPIRED"</formula>
    </cfRule>
  </conditionalFormatting>
  <conditionalFormatting sqref="C554:E555 D556:E556 G554:J556">
    <cfRule type="expression" dxfId="66" priority="30">
      <formula>$S554="⚠ EXPIRES SOON"</formula>
    </cfRule>
    <cfRule type="expression" dxfId="65" priority="29">
      <formula>$S554="EXPIRED"</formula>
    </cfRule>
  </conditionalFormatting>
  <conditionalFormatting sqref="C557:J558 L557:O560 D559:J560">
    <cfRule type="expression" dxfId="64" priority="23">
      <formula>$S557="EXPIRED"</formula>
    </cfRule>
  </conditionalFormatting>
  <conditionalFormatting sqref="C557:J558 L558:O560 D559:J560">
    <cfRule type="expression" dxfId="63" priority="24">
      <formula>$S557="⚠ EXPIRES SOON"</formula>
    </cfRule>
  </conditionalFormatting>
  <conditionalFormatting sqref="C563:J564 D565:D569">
    <cfRule type="expression" dxfId="62" priority="18">
      <formula>$S563="⚠ EXPIRES SOON"</formula>
    </cfRule>
  </conditionalFormatting>
  <conditionalFormatting sqref="C563:J566 M566:O566">
    <cfRule type="expression" dxfId="61" priority="13">
      <formula>$S563="EXPIRED"</formula>
    </cfRule>
  </conditionalFormatting>
  <conditionalFormatting sqref="C565:J566 M566:O566">
    <cfRule type="expression" dxfId="60" priority="14">
      <formula>$S565="⚠ EXPIRES SOON"</formula>
    </cfRule>
  </conditionalFormatting>
  <conditionalFormatting sqref="D561">
    <cfRule type="expression" dxfId="59" priority="3">
      <formula>$S561="EXPIRED"</formula>
    </cfRule>
    <cfRule type="expression" dxfId="58" priority="4">
      <formula>$S561="⚠ EXPIRES SOON"</formula>
    </cfRule>
  </conditionalFormatting>
  <conditionalFormatting sqref="D564:D569">
    <cfRule type="expression" dxfId="57" priority="17">
      <formula>$S564="EXPIRED"</formula>
    </cfRule>
  </conditionalFormatting>
  <conditionalFormatting sqref="D567:D568">
    <cfRule type="expression" dxfId="56" priority="9">
      <formula>$S567="EXPIRED"</formula>
    </cfRule>
    <cfRule type="expression" dxfId="55" priority="10">
      <formula>$S567="⚠ EXPIRES SOON"</formula>
    </cfRule>
  </conditionalFormatting>
  <conditionalFormatting sqref="D562:E562 L562:N562 G562:J562">
    <cfRule type="expression" dxfId="54" priority="20">
      <formula>$S562="⚠ EXPIRES SOON"</formula>
    </cfRule>
    <cfRule type="expression" dxfId="53" priority="19">
      <formula>$S562="EXPIRED"</formula>
    </cfRule>
  </conditionalFormatting>
  <conditionalFormatting sqref="F538">
    <cfRule type="expression" dxfId="52" priority="47">
      <formula>$S538="EXPIRED"</formula>
    </cfRule>
    <cfRule type="expression" dxfId="51" priority="48">
      <formula>$S538="⚠ EXPIRES SOON"</formula>
    </cfRule>
  </conditionalFormatting>
  <conditionalFormatting sqref="F561">
    <cfRule type="expression" dxfId="50" priority="21">
      <formula>$S561="EXPIRED"</formula>
    </cfRule>
    <cfRule type="expression" dxfId="49" priority="22">
      <formula>$S561="⚠ EXPIRES SOON"</formula>
    </cfRule>
  </conditionalFormatting>
  <conditionalFormatting sqref="J553 L553:O553">
    <cfRule type="expression" dxfId="48" priority="35">
      <formula>$S553="EXPIRED"</formula>
    </cfRule>
    <cfRule type="expression" dxfId="47" priority="36">
      <formula>$S553="⚠ EXPIRES SOON"</formula>
    </cfRule>
  </conditionalFormatting>
  <conditionalFormatting sqref="K296">
    <cfRule type="expression" dxfId="46" priority="53">
      <formula>$S296="EXPIRED"</formula>
    </cfRule>
    <cfRule type="expression" dxfId="45" priority="54">
      <formula>$S296="⚠ EXPIRES SOON"</formula>
    </cfRule>
  </conditionalFormatting>
  <conditionalFormatting sqref="K298">
    <cfRule type="expression" dxfId="44" priority="56">
      <formula>$S298="⚠ EXPIRES SOON"</formula>
    </cfRule>
    <cfRule type="expression" dxfId="43" priority="55">
      <formula>$S298="EXPIRED"</formula>
    </cfRule>
  </conditionalFormatting>
  <conditionalFormatting sqref="K302">
    <cfRule type="expression" dxfId="42" priority="52">
      <formula>$S302="⚠ EXPIRES SOON"</formula>
    </cfRule>
    <cfRule type="expression" dxfId="41" priority="51">
      <formula>$S302="EXPIRED"</formula>
    </cfRule>
  </conditionalFormatting>
  <conditionalFormatting sqref="K304">
    <cfRule type="expression" dxfId="40" priority="58">
      <formula>$S304="⚠ EXPIRES SOON"</formula>
    </cfRule>
    <cfRule type="expression" dxfId="39" priority="57">
      <formula>$S304="EXPIRED"</formula>
    </cfRule>
  </conditionalFormatting>
  <conditionalFormatting sqref="K306:K313">
    <cfRule type="expression" dxfId="38" priority="50">
      <formula>$S306="⚠ EXPIRES SOON"</formula>
    </cfRule>
    <cfRule type="expression" dxfId="37" priority="49">
      <formula>$S306="EXPIRED"</formula>
    </cfRule>
  </conditionalFormatting>
  <conditionalFormatting sqref="K351">
    <cfRule type="expression" dxfId="36" priority="60">
      <formula>$S351="⚠ EXPIRES SOON"</formula>
    </cfRule>
    <cfRule type="expression" dxfId="35" priority="59">
      <formula>$S351="EXPIRED"</formula>
    </cfRule>
  </conditionalFormatting>
  <conditionalFormatting sqref="K456">
    <cfRule type="expression" dxfId="34" priority="62">
      <formula>$S456="⚠ EXPIRES SOON"</formula>
    </cfRule>
    <cfRule type="expression" dxfId="33" priority="61">
      <formula>$S456="EXPIRED"</formula>
    </cfRule>
  </conditionalFormatting>
  <conditionalFormatting sqref="K462">
    <cfRule type="expression" dxfId="32" priority="63">
      <formula>$S462="EXPIRED"</formula>
    </cfRule>
    <cfRule type="expression" dxfId="31" priority="64">
      <formula>$S462="⚠ EXPIRES SOON"</formula>
    </cfRule>
  </conditionalFormatting>
  <conditionalFormatting sqref="K538">
    <cfRule type="expression" dxfId="30" priority="46">
      <formula>$S538="⚠ EXPIRES SOON"</formula>
    </cfRule>
    <cfRule type="expression" dxfId="29" priority="45">
      <formula>$S538="EXPIRED"</formula>
    </cfRule>
  </conditionalFormatting>
  <conditionalFormatting sqref="K557">
    <cfRule type="expression" dxfId="28" priority="25">
      <formula>$S557="EXPIRED"</formula>
    </cfRule>
    <cfRule type="expression" dxfId="27" priority="26">
      <formula>$S557="⚠ EXPIRES SOON"</formula>
    </cfRule>
  </conditionalFormatting>
  <conditionalFormatting sqref="L554">
    <cfRule type="expression" dxfId="26" priority="32">
      <formula>$S554="⚠ EXPIRES SOON"</formula>
    </cfRule>
    <cfRule type="expression" dxfId="25" priority="31">
      <formula>$S554="EXPIRED"</formula>
    </cfRule>
  </conditionalFormatting>
  <conditionalFormatting sqref="L566">
    <cfRule type="expression" dxfId="24" priority="11">
      <formula>$S566="EXPIRED"</formula>
    </cfRule>
    <cfRule type="expression" dxfId="23" priority="12">
      <formula>$S566="⚠ EXPIRES SOON"</formula>
    </cfRule>
  </conditionalFormatting>
  <conditionalFormatting sqref="L557:O557 N558:N560">
    <cfRule type="expression" dxfId="22" priority="28">
      <formula>$S557="⚠ EXPIRES SOON"</formula>
    </cfRule>
  </conditionalFormatting>
  <conditionalFormatting sqref="L563:O565">
    <cfRule type="expression" dxfId="21" priority="16">
      <formula>$S563="⚠ EXPIRES SOON"</formula>
    </cfRule>
    <cfRule type="expression" dxfId="20" priority="15">
      <formula>$S563="EXPIRED"</formula>
    </cfRule>
  </conditionalFormatting>
  <conditionalFormatting sqref="L567:O578">
    <cfRule type="expression" dxfId="19" priority="5">
      <formula>$S567="EXPIRED"</formula>
    </cfRule>
    <cfRule type="expression" dxfId="18" priority="6">
      <formula>$S567="⚠ EXPIRES SOON"</formula>
    </cfRule>
  </conditionalFormatting>
  <conditionalFormatting sqref="M539:N539 N540:N547">
    <cfRule type="expression" dxfId="17" priority="44">
      <formula>$S539="⚠ EXPIRES SOON"</formula>
    </cfRule>
    <cfRule type="expression" dxfId="16" priority="43">
      <formula>$S539="EXPIRED"</formula>
    </cfRule>
  </conditionalFormatting>
  <conditionalFormatting sqref="M554:N556">
    <cfRule type="expression" dxfId="15" priority="34">
      <formula>$S554="⚠ EXPIRES SOON"</formula>
    </cfRule>
    <cfRule type="expression" dxfId="14" priority="33">
      <formula>$S554="EXPIRED"</formula>
    </cfRule>
  </conditionalFormatting>
  <conditionalFormatting sqref="M556:N556 C556:E556 M559:N561 C559:J560 E561:J561 C569:J576 E577:J577 M569:N576 O515:O548 C561:C562 G556:J556">
    <cfRule type="expression" dxfId="13" priority="41">
      <formula>$S515="EXPIRED"</formula>
    </cfRule>
  </conditionalFormatting>
  <conditionalFormatting sqref="N557:N560">
    <cfRule type="expression" dxfId="12" priority="27">
      <formula>$S557="EXPIRED"</formula>
    </cfRule>
  </conditionalFormatting>
  <conditionalFormatting sqref="O538:O548 C556:E556 M556:N556 C559:J560 M559:N561 E561:J561 C561:C562 C569:J576 M569:N576 E577:J577 G556:J556">
    <cfRule type="expression" dxfId="11" priority="42">
      <formula>$S538="⚠ EXPIRES SOON"</formula>
    </cfRule>
  </conditionalFormatting>
  <conditionalFormatting sqref="P153:Q153">
    <cfRule type="expression" dxfId="10" priority="72">
      <formula>$S161="EXPIRED"</formula>
    </cfRule>
    <cfRule type="expression" dxfId="9" priority="71">
      <formula>$S161="⚠ EXPIRES SOON"</formula>
    </cfRule>
  </conditionalFormatting>
  <conditionalFormatting sqref="P2:S152 R153:S153 P154:S375 R376:S376 O377:S536 S537:S578 K298:K299 A2:J146 L2:N306 O2:O375 K133 A147 C147:J147 K192 L307:M307 L308:N536 K326 K346 A537 C537:D537 F537:J537 L537:O537 B537:B539 E537:E539 P537:Q539 A148:J536">
    <cfRule type="expression" dxfId="8" priority="69">
      <formula>$S2="EXPIRED"</formula>
    </cfRule>
  </conditionalFormatting>
  <conditionalFormatting sqref="R536:R578">
    <cfRule type="expression" dxfId="7" priority="39">
      <formula>$S536="EXPIRED"</formula>
    </cfRule>
  </conditionalFormatting>
  <conditionalFormatting sqref="R537:R578">
    <cfRule type="expression" dxfId="6" priority="40">
      <formula>$S537="⚠ EXPIRES SOON"</formula>
    </cfRule>
  </conditionalFormatting>
  <conditionalFormatting sqref="S2:S578">
    <cfRule type="expression" dxfId="5" priority="65">
      <formula>S2="EXPIRED"</formula>
    </cfRule>
    <cfRule type="expression" dxfId="4" priority="67">
      <formula>S2="⚡ 90 Days"</formula>
    </cfRule>
    <cfRule type="expression" dxfId="3" priority="68">
      <formula>S2="✓ OK"</formula>
    </cfRule>
    <cfRule type="expression" dxfId="2" priority="66">
      <formula>S2="⚠ EXPIRES SOON"</formula>
    </cfRule>
  </conditionalFormatting>
  <conditionalFormatting sqref="F562 F553:F556 F546 F539">
    <cfRule type="expression" dxfId="1" priority="2">
      <formula>$S539="⚠ EXPIRES SOON"</formula>
    </cfRule>
  </conditionalFormatting>
  <conditionalFormatting sqref="F562 F553:F556 F546 F539">
    <cfRule type="expression" dxfId="0" priority="1">
      <formula>$S539="EXPIRED"</formula>
    </cfRule>
  </conditionalFormatting>
  <hyperlinks>
    <hyperlink ref="H6" r:id="rId1" xr:uid="{82A71751-6CC1-4A45-8C2C-91AF5C166DD6}"/>
    <hyperlink ref="H48" r:id="rId2" xr:uid="{84CD8626-BE60-4672-A934-D82DF730D1B5}"/>
    <hyperlink ref="H140" r:id="rId3" xr:uid="{B79472D6-F1ED-4F07-9C97-65FDD2FB81BF}"/>
    <hyperlink ref="H141" r:id="rId4" xr:uid="{16E0151A-E964-4B27-8308-5EE9A8539EBD}"/>
    <hyperlink ref="H333" r:id="rId5" xr:uid="{943111E4-B832-4C0F-A383-4C779F79FF2D}"/>
    <hyperlink ref="H335" r:id="rId6" xr:uid="{9627E493-5EE8-43AA-9E20-009EB6FA228B}"/>
    <hyperlink ref="H336" r:id="rId7" xr:uid="{ED3F026C-DB44-4528-98B4-534216C1F8D5}"/>
    <hyperlink ref="H337" r:id="rId8" xr:uid="{6007A3E2-E42B-4A27-BA2A-EBFFA9AD8B37}"/>
    <hyperlink ref="H342" r:id="rId9" xr:uid="{7DD84673-7E86-4A74-B2E6-DBE7F2EA526D}"/>
    <hyperlink ref="H481" r:id="rId10" location="/?prpd=Y&amp;uci=5591&amp;rci=5591" xr:uid="{EF514343-797E-484E-95C9-A63ECE9A6BDF}"/>
    <hyperlink ref="H484" r:id="rId11" xr:uid="{264F5848-141F-430A-A8C1-D193A8A1210F}"/>
    <hyperlink ref="H497" r:id="rId12" xr:uid="{8DE83E4A-5E04-447E-93B9-322433D1A88C}"/>
    <hyperlink ref="H562" r:id="rId13" xr:uid="{44937276-A467-418C-9A9D-609C42239162}"/>
  </hyperlinks>
  <pageMargins left="0.7" right="0.7" top="0.75" bottom="0.75" header="0.3" footer="0.3"/>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Riad Elwan</dc:creator>
  <cp:lastModifiedBy>Riad Elwan</cp:lastModifiedBy>
  <dcterms:created xsi:type="dcterms:W3CDTF">2026-08-13T08:36:45Z</dcterms:created>
  <dcterms:modified xsi:type="dcterms:W3CDTF">2026-08-13T08:44:15Z</dcterms:modified>
</cp:coreProperties>
</file>